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esktop\Capstone HR Analysis Project, Ayodele Fisayo Temitope\"/>
    </mc:Choice>
  </mc:AlternateContent>
  <xr:revisionPtr revIDLastSave="0" documentId="13_ncr:1_{CC32AB95-C19F-4254-8599-12DBE3BB6BC5}" xr6:coauthVersionLast="47" xr6:coauthVersionMax="47" xr10:uidLastSave="{00000000-0000-0000-0000-000000000000}"/>
  <bookViews>
    <workbookView xWindow="-110" yWindow="-110" windowWidth="19420" windowHeight="10300" tabRatio="683" firstSheet="3" activeTab="3" xr2:uid="{00000000-000D-0000-FFFF-FFFF00000000}"/>
  </bookViews>
  <sheets>
    <sheet name="Charts" sheetId="10" r:id="rId1"/>
    <sheet name="HR Dashboard" sheetId="7" r:id="rId2"/>
    <sheet name="HR Dashboard (2)" sheetId="11" r:id="rId3"/>
    <sheet name="HR Dashboard (3)" sheetId="12" r:id="rId4"/>
    <sheet name="Analysis" sheetId="5" r:id="rId5"/>
    <sheet name="Raw_Employee_Data with Fomulas" sheetId="14" r:id="rId6"/>
    <sheet name="Raw_Employee_Data" sheetId="4" r:id="rId7"/>
    <sheet name="Lookup_Departments" sheetId="2" r:id="rId8"/>
    <sheet name="Lookup_Performance" sheetId="3" r:id="rId9"/>
  </sheets>
  <definedNames>
    <definedName name="_xlnm._FilterDatabase" localSheetId="6" hidden="1">Raw_Employee_Data!$A$1:$A$172</definedName>
    <definedName name="_xlnm._FilterDatabase" localSheetId="5" hidden="1">'Raw_Employee_Data with Fomulas'!$A$1:$A$172</definedName>
    <definedName name="_xlcn.WorksheetConnection_Raw_Employee_DataAM1" hidden="1">Raw_Employee_Data!$A:$M</definedName>
    <definedName name="Slicer_Department_Name">#N/A</definedName>
    <definedName name="Slicer_Dept_Code">#N/A</definedName>
    <definedName name="Slicer_Emplyment_Status">#N/A</definedName>
    <definedName name="Slicer_Performance_Band">#N/A</definedName>
    <definedName name="Slicer_Performance_Scor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Employee_Data!$A:$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5" i="14" l="1"/>
  <c r="I164" i="14"/>
  <c r="I163" i="14"/>
  <c r="I162" i="14"/>
  <c r="I161" i="14"/>
  <c r="I160" i="14"/>
  <c r="I159" i="14"/>
  <c r="I158" i="14"/>
  <c r="I157" i="14"/>
  <c r="I156" i="14"/>
  <c r="I155" i="14"/>
  <c r="I154" i="14"/>
  <c r="I153" i="14"/>
  <c r="I152" i="14"/>
  <c r="L151" i="14" a="1"/>
  <c r="L151" i="14" s="1"/>
  <c r="M151" i="14" s="1"/>
  <c r="K151" i="14"/>
  <c r="J151" i="14"/>
  <c r="I151" i="14"/>
  <c r="L150" i="14" a="1"/>
  <c r="L150" i="14" s="1"/>
  <c r="M150" i="14" s="1"/>
  <c r="K150" i="14"/>
  <c r="J150" i="14"/>
  <c r="I150" i="14"/>
  <c r="L149" i="14" a="1"/>
  <c r="L149" i="14" s="1"/>
  <c r="M149" i="14" s="1"/>
  <c r="K149" i="14"/>
  <c r="J149" i="14"/>
  <c r="I149" i="14"/>
  <c r="L148" i="14" a="1"/>
  <c r="L148" i="14" s="1"/>
  <c r="M148" i="14" s="1"/>
  <c r="K148" i="14"/>
  <c r="J148" i="14"/>
  <c r="I148" i="14"/>
  <c r="L147" i="14" a="1"/>
  <c r="L147" i="14" s="1"/>
  <c r="M147" i="14" s="1"/>
  <c r="K147" i="14"/>
  <c r="J147" i="14"/>
  <c r="I147" i="14"/>
  <c r="L146" i="14" a="1"/>
  <c r="L146" i="14" s="1"/>
  <c r="M146" i="14" s="1"/>
  <c r="K146" i="14"/>
  <c r="J146" i="14"/>
  <c r="I146" i="14"/>
  <c r="L145" i="14" a="1"/>
  <c r="L145" i="14" s="1"/>
  <c r="M145" i="14" s="1"/>
  <c r="K145" i="14"/>
  <c r="J145" i="14"/>
  <c r="I145" i="14"/>
  <c r="L144" i="14" a="1"/>
  <c r="L144" i="14" s="1"/>
  <c r="M144" i="14" s="1"/>
  <c r="K144" i="14"/>
  <c r="J144" i="14"/>
  <c r="I144" i="14"/>
  <c r="L143" i="14" a="1"/>
  <c r="L143" i="14" s="1"/>
  <c r="M143" i="14" s="1"/>
  <c r="K143" i="14"/>
  <c r="J143" i="14"/>
  <c r="I143" i="14"/>
  <c r="L142" i="14" a="1"/>
  <c r="L142" i="14" s="1"/>
  <c r="M142" i="14" s="1"/>
  <c r="K142" i="14"/>
  <c r="J142" i="14"/>
  <c r="I142" i="14"/>
  <c r="L141" i="14" a="1"/>
  <c r="L141" i="14" s="1"/>
  <c r="M141" i="14" s="1"/>
  <c r="K141" i="14"/>
  <c r="J141" i="14"/>
  <c r="I141" i="14"/>
  <c r="L140" i="14" a="1"/>
  <c r="L140" i="14" s="1"/>
  <c r="M140" i="14" s="1"/>
  <c r="K140" i="14"/>
  <c r="J140" i="14"/>
  <c r="I140" i="14"/>
  <c r="L139" i="14" a="1"/>
  <c r="L139" i="14" s="1"/>
  <c r="M139" i="14" s="1"/>
  <c r="K139" i="14"/>
  <c r="J139" i="14"/>
  <c r="I139" i="14"/>
  <c r="L138" i="14" a="1"/>
  <c r="L138" i="14" s="1"/>
  <c r="M138" i="14" s="1"/>
  <c r="K138" i="14"/>
  <c r="J138" i="14"/>
  <c r="I138" i="14"/>
  <c r="L137" i="14" a="1"/>
  <c r="L137" i="14" s="1"/>
  <c r="M137" i="14" s="1"/>
  <c r="K137" i="14"/>
  <c r="J137" i="14"/>
  <c r="I137" i="14"/>
  <c r="L136" i="14" a="1"/>
  <c r="L136" i="14" s="1"/>
  <c r="M136" i="14" s="1"/>
  <c r="K136" i="14"/>
  <c r="J136" i="14"/>
  <c r="I136" i="14"/>
  <c r="L135" i="14" a="1"/>
  <c r="L135" i="14" s="1"/>
  <c r="M135" i="14" s="1"/>
  <c r="K135" i="14"/>
  <c r="J135" i="14"/>
  <c r="I135" i="14"/>
  <c r="L134" i="14" a="1"/>
  <c r="L134" i="14" s="1"/>
  <c r="M134" i="14" s="1"/>
  <c r="K134" i="14"/>
  <c r="J134" i="14"/>
  <c r="I134" i="14"/>
  <c r="L133" i="14" a="1"/>
  <c r="L133" i="14" s="1"/>
  <c r="M133" i="14" s="1"/>
  <c r="K133" i="14"/>
  <c r="J133" i="14"/>
  <c r="I133" i="14"/>
  <c r="L132" i="14" a="1"/>
  <c r="L132" i="14" s="1"/>
  <c r="M132" i="14" s="1"/>
  <c r="K132" i="14"/>
  <c r="J132" i="14"/>
  <c r="I132" i="14"/>
  <c r="L131" i="14" a="1"/>
  <c r="L131" i="14" s="1"/>
  <c r="M131" i="14" s="1"/>
  <c r="K131" i="14"/>
  <c r="J131" i="14"/>
  <c r="I131" i="14"/>
  <c r="L130" i="14" a="1"/>
  <c r="L130" i="14" s="1"/>
  <c r="M130" i="14" s="1"/>
  <c r="K130" i="14"/>
  <c r="J130" i="14"/>
  <c r="I130" i="14"/>
  <c r="L129" i="14" a="1"/>
  <c r="L129" i="14" s="1"/>
  <c r="M129" i="14" s="1"/>
  <c r="K129" i="14"/>
  <c r="J129" i="14"/>
  <c r="I129" i="14"/>
  <c r="L128" i="14" a="1"/>
  <c r="L128" i="14" s="1"/>
  <c r="M128" i="14" s="1"/>
  <c r="K128" i="14"/>
  <c r="J128" i="14"/>
  <c r="I128" i="14"/>
  <c r="L127" i="14" a="1"/>
  <c r="L127" i="14" s="1"/>
  <c r="M127" i="14" s="1"/>
  <c r="K127" i="14"/>
  <c r="J127" i="14"/>
  <c r="I127" i="14"/>
  <c r="L126" i="14" a="1"/>
  <c r="L126" i="14" s="1"/>
  <c r="M126" i="14" s="1"/>
  <c r="K126" i="14"/>
  <c r="J126" i="14"/>
  <c r="I126" i="14"/>
  <c r="L125" i="14" a="1"/>
  <c r="L125" i="14" s="1"/>
  <c r="M125" i="14" s="1"/>
  <c r="K125" i="14"/>
  <c r="J125" i="14"/>
  <c r="I125" i="14"/>
  <c r="L124" i="14" a="1"/>
  <c r="L124" i="14" s="1"/>
  <c r="M124" i="14" s="1"/>
  <c r="K124" i="14"/>
  <c r="J124" i="14"/>
  <c r="I124" i="14"/>
  <c r="L123" i="14" a="1"/>
  <c r="L123" i="14" s="1"/>
  <c r="M123" i="14" s="1"/>
  <c r="K123" i="14"/>
  <c r="J123" i="14"/>
  <c r="I123" i="14"/>
  <c r="L122" i="14" a="1"/>
  <c r="L122" i="14" s="1"/>
  <c r="M122" i="14" s="1"/>
  <c r="K122" i="14"/>
  <c r="J122" i="14"/>
  <c r="I122" i="14"/>
  <c r="L121" i="14" a="1"/>
  <c r="L121" i="14" s="1"/>
  <c r="M121" i="14" s="1"/>
  <c r="K121" i="14"/>
  <c r="J121" i="14"/>
  <c r="I121" i="14"/>
  <c r="L120" i="14" a="1"/>
  <c r="L120" i="14" s="1"/>
  <c r="M120" i="14" s="1"/>
  <c r="K120" i="14"/>
  <c r="J120" i="14"/>
  <c r="I120" i="14"/>
  <c r="L119" i="14" a="1"/>
  <c r="L119" i="14" s="1"/>
  <c r="M119" i="14" s="1"/>
  <c r="K119" i="14"/>
  <c r="J119" i="14"/>
  <c r="I119" i="14"/>
  <c r="L118" i="14" a="1"/>
  <c r="L118" i="14" s="1"/>
  <c r="M118" i="14" s="1"/>
  <c r="K118" i="14"/>
  <c r="J118" i="14"/>
  <c r="I118" i="14"/>
  <c r="L117" i="14" a="1"/>
  <c r="L117" i="14" s="1"/>
  <c r="M117" i="14" s="1"/>
  <c r="K117" i="14"/>
  <c r="J117" i="14"/>
  <c r="I117" i="14"/>
  <c r="L116" i="14" a="1"/>
  <c r="L116" i="14" s="1"/>
  <c r="M116" i="14" s="1"/>
  <c r="K116" i="14"/>
  <c r="J116" i="14"/>
  <c r="I116" i="14"/>
  <c r="L115" i="14" a="1"/>
  <c r="L115" i="14" s="1"/>
  <c r="M115" i="14" s="1"/>
  <c r="K115" i="14"/>
  <c r="J115" i="14"/>
  <c r="I115" i="14"/>
  <c r="L114" i="14" a="1"/>
  <c r="L114" i="14" s="1"/>
  <c r="M114" i="14" s="1"/>
  <c r="K114" i="14"/>
  <c r="J114" i="14"/>
  <c r="I114" i="14"/>
  <c r="L113" i="14" a="1"/>
  <c r="L113" i="14" s="1"/>
  <c r="M113" i="14" s="1"/>
  <c r="K113" i="14"/>
  <c r="J113" i="14"/>
  <c r="I113" i="14"/>
  <c r="L112" i="14" a="1"/>
  <c r="L112" i="14" s="1"/>
  <c r="M112" i="14" s="1"/>
  <c r="K112" i="14"/>
  <c r="J112" i="14"/>
  <c r="I112" i="14"/>
  <c r="L111" i="14" a="1"/>
  <c r="L111" i="14" s="1"/>
  <c r="M111" i="14" s="1"/>
  <c r="K111" i="14"/>
  <c r="J111" i="14"/>
  <c r="I111" i="14"/>
  <c r="L110" i="14" a="1"/>
  <c r="L110" i="14" s="1"/>
  <c r="M110" i="14" s="1"/>
  <c r="K110" i="14"/>
  <c r="J110" i="14"/>
  <c r="I110" i="14"/>
  <c r="L109" i="14" a="1"/>
  <c r="L109" i="14" s="1"/>
  <c r="M109" i="14" s="1"/>
  <c r="K109" i="14"/>
  <c r="J109" i="14"/>
  <c r="I109" i="14"/>
  <c r="L108" i="14" a="1"/>
  <c r="L108" i="14" s="1"/>
  <c r="M108" i="14" s="1"/>
  <c r="K108" i="14"/>
  <c r="J108" i="14"/>
  <c r="I108" i="14"/>
  <c r="L107" i="14" a="1"/>
  <c r="L107" i="14" s="1"/>
  <c r="M107" i="14" s="1"/>
  <c r="K107" i="14"/>
  <c r="J107" i="14"/>
  <c r="I107" i="14"/>
  <c r="L106" i="14" a="1"/>
  <c r="L106" i="14" s="1"/>
  <c r="M106" i="14" s="1"/>
  <c r="K106" i="14"/>
  <c r="J106" i="14"/>
  <c r="I106" i="14"/>
  <c r="L105" i="14" a="1"/>
  <c r="L105" i="14" s="1"/>
  <c r="M105" i="14" s="1"/>
  <c r="K105" i="14"/>
  <c r="J105" i="14"/>
  <c r="I105" i="14"/>
  <c r="L104" i="14" a="1"/>
  <c r="L104" i="14" s="1"/>
  <c r="M104" i="14" s="1"/>
  <c r="K104" i="14"/>
  <c r="J104" i="14"/>
  <c r="I104" i="14"/>
  <c r="L103" i="14" a="1"/>
  <c r="L103" i="14" s="1"/>
  <c r="M103" i="14" s="1"/>
  <c r="K103" i="14"/>
  <c r="J103" i="14"/>
  <c r="I103" i="14"/>
  <c r="L102" i="14" a="1"/>
  <c r="L102" i="14" s="1"/>
  <c r="M102" i="14" s="1"/>
  <c r="K102" i="14"/>
  <c r="J102" i="14"/>
  <c r="I102" i="14"/>
  <c r="L101" i="14" a="1"/>
  <c r="L101" i="14" s="1"/>
  <c r="M101" i="14" s="1"/>
  <c r="K101" i="14"/>
  <c r="J101" i="14"/>
  <c r="I101" i="14"/>
  <c r="L100" i="14" a="1"/>
  <c r="L100" i="14" s="1"/>
  <c r="M100" i="14" s="1"/>
  <c r="K100" i="14"/>
  <c r="J100" i="14"/>
  <c r="I100" i="14"/>
  <c r="L99" i="14" a="1"/>
  <c r="L99" i="14" s="1"/>
  <c r="M99" i="14" s="1"/>
  <c r="K99" i="14"/>
  <c r="J99" i="14"/>
  <c r="I99" i="14"/>
  <c r="L98" i="14" a="1"/>
  <c r="L98" i="14" s="1"/>
  <c r="M98" i="14" s="1"/>
  <c r="K98" i="14"/>
  <c r="J98" i="14"/>
  <c r="I98" i="14"/>
  <c r="L97" i="14" a="1"/>
  <c r="L97" i="14" s="1"/>
  <c r="M97" i="14" s="1"/>
  <c r="K97" i="14"/>
  <c r="J97" i="14"/>
  <c r="I97" i="14"/>
  <c r="L96" i="14" a="1"/>
  <c r="L96" i="14" s="1"/>
  <c r="M96" i="14" s="1"/>
  <c r="K96" i="14"/>
  <c r="J96" i="14"/>
  <c r="I96" i="14"/>
  <c r="L95" i="14" a="1"/>
  <c r="L95" i="14" s="1"/>
  <c r="M95" i="14" s="1"/>
  <c r="K95" i="14"/>
  <c r="J95" i="14"/>
  <c r="I95" i="14"/>
  <c r="L94" i="14" a="1"/>
  <c r="L94" i="14" s="1"/>
  <c r="M94" i="14" s="1"/>
  <c r="K94" i="14"/>
  <c r="J94" i="14"/>
  <c r="I94" i="14"/>
  <c r="L93" i="14" a="1"/>
  <c r="L93" i="14" s="1"/>
  <c r="M93" i="14" s="1"/>
  <c r="K93" i="14"/>
  <c r="J93" i="14"/>
  <c r="I93" i="14"/>
  <c r="L92" i="14" a="1"/>
  <c r="L92" i="14" s="1"/>
  <c r="M92" i="14" s="1"/>
  <c r="K92" i="14"/>
  <c r="J92" i="14"/>
  <c r="I92" i="14"/>
  <c r="L91" i="14" a="1"/>
  <c r="L91" i="14" s="1"/>
  <c r="M91" i="14" s="1"/>
  <c r="K91" i="14"/>
  <c r="J91" i="14"/>
  <c r="I91" i="14"/>
  <c r="L90" i="14" a="1"/>
  <c r="L90" i="14" s="1"/>
  <c r="M90" i="14" s="1"/>
  <c r="K90" i="14"/>
  <c r="J90" i="14"/>
  <c r="I90" i="14"/>
  <c r="L89" i="14" a="1"/>
  <c r="L89" i="14" s="1"/>
  <c r="M89" i="14" s="1"/>
  <c r="K89" i="14"/>
  <c r="J89" i="14"/>
  <c r="I89" i="14"/>
  <c r="L88" i="14" a="1"/>
  <c r="L88" i="14" s="1"/>
  <c r="M88" i="14" s="1"/>
  <c r="K88" i="14"/>
  <c r="J88" i="14"/>
  <c r="I88" i="14"/>
  <c r="L87" i="14" a="1"/>
  <c r="L87" i="14" s="1"/>
  <c r="M87" i="14" s="1"/>
  <c r="K87" i="14"/>
  <c r="J87" i="14"/>
  <c r="I87" i="14"/>
  <c r="L86" i="14" a="1"/>
  <c r="L86" i="14" s="1"/>
  <c r="M86" i="14" s="1"/>
  <c r="K86" i="14"/>
  <c r="J86" i="14"/>
  <c r="I86" i="14"/>
  <c r="L85" i="14" a="1"/>
  <c r="L85" i="14" s="1"/>
  <c r="M85" i="14" s="1"/>
  <c r="K85" i="14"/>
  <c r="J85" i="14"/>
  <c r="I85" i="14"/>
  <c r="L84" i="14" a="1"/>
  <c r="L84" i="14" s="1"/>
  <c r="M84" i="14" s="1"/>
  <c r="K84" i="14"/>
  <c r="J84" i="14"/>
  <c r="I84" i="14"/>
  <c r="L83" i="14" a="1"/>
  <c r="L83" i="14" s="1"/>
  <c r="M83" i="14" s="1"/>
  <c r="K83" i="14"/>
  <c r="J83" i="14"/>
  <c r="I83" i="14"/>
  <c r="L82" i="14" a="1"/>
  <c r="L82" i="14" s="1"/>
  <c r="M82" i="14" s="1"/>
  <c r="K82" i="14"/>
  <c r="J82" i="14"/>
  <c r="I82" i="14"/>
  <c r="L81" i="14" a="1"/>
  <c r="L81" i="14" s="1"/>
  <c r="M81" i="14" s="1"/>
  <c r="K81" i="14"/>
  <c r="J81" i="14"/>
  <c r="I81" i="14"/>
  <c r="L80" i="14" a="1"/>
  <c r="L80" i="14" s="1"/>
  <c r="M80" i="14" s="1"/>
  <c r="K80" i="14"/>
  <c r="J80" i="14"/>
  <c r="I80" i="14"/>
  <c r="L79" i="14" a="1"/>
  <c r="L79" i="14" s="1"/>
  <c r="M79" i="14" s="1"/>
  <c r="K79" i="14"/>
  <c r="J79" i="14"/>
  <c r="I79" i="14"/>
  <c r="L78" i="14" a="1"/>
  <c r="L78" i="14" s="1"/>
  <c r="M78" i="14" s="1"/>
  <c r="K78" i="14"/>
  <c r="J78" i="14"/>
  <c r="I78" i="14"/>
  <c r="L77" i="14" a="1"/>
  <c r="L77" i="14" s="1"/>
  <c r="M77" i="14" s="1"/>
  <c r="K77" i="14"/>
  <c r="J77" i="14"/>
  <c r="I77" i="14"/>
  <c r="L76" i="14" a="1"/>
  <c r="L76" i="14" s="1"/>
  <c r="M76" i="14" s="1"/>
  <c r="K76" i="14"/>
  <c r="J76" i="14"/>
  <c r="I76" i="14"/>
  <c r="L75" i="14" a="1"/>
  <c r="L75" i="14" s="1"/>
  <c r="M75" i="14" s="1"/>
  <c r="K75" i="14"/>
  <c r="J75" i="14"/>
  <c r="I75" i="14"/>
  <c r="L74" i="14" a="1"/>
  <c r="L74" i="14" s="1"/>
  <c r="M74" i="14" s="1"/>
  <c r="K74" i="14"/>
  <c r="J74" i="14"/>
  <c r="I74" i="14"/>
  <c r="L73" i="14" a="1"/>
  <c r="L73" i="14" s="1"/>
  <c r="M73" i="14" s="1"/>
  <c r="K73" i="14"/>
  <c r="J73" i="14"/>
  <c r="I73" i="14"/>
  <c r="L72" i="14" a="1"/>
  <c r="L72" i="14" s="1"/>
  <c r="M72" i="14" s="1"/>
  <c r="K72" i="14"/>
  <c r="J72" i="14"/>
  <c r="I72" i="14"/>
  <c r="L71" i="14" a="1"/>
  <c r="L71" i="14" s="1"/>
  <c r="M71" i="14" s="1"/>
  <c r="K71" i="14"/>
  <c r="J71" i="14"/>
  <c r="I71" i="14"/>
  <c r="L70" i="14" a="1"/>
  <c r="L70" i="14" s="1"/>
  <c r="M70" i="14" s="1"/>
  <c r="K70" i="14"/>
  <c r="J70" i="14"/>
  <c r="I70" i="14"/>
  <c r="L69" i="14" a="1"/>
  <c r="L69" i="14" s="1"/>
  <c r="M69" i="14" s="1"/>
  <c r="K69" i="14"/>
  <c r="J69" i="14"/>
  <c r="I69" i="14"/>
  <c r="L68" i="14" a="1"/>
  <c r="L68" i="14" s="1"/>
  <c r="M68" i="14" s="1"/>
  <c r="K68" i="14"/>
  <c r="J68" i="14"/>
  <c r="I68" i="14"/>
  <c r="L67" i="14" a="1"/>
  <c r="L67" i="14" s="1"/>
  <c r="M67" i="14" s="1"/>
  <c r="K67" i="14"/>
  <c r="J67" i="14"/>
  <c r="I67" i="14"/>
  <c r="L66" i="14" a="1"/>
  <c r="L66" i="14" s="1"/>
  <c r="M66" i="14" s="1"/>
  <c r="K66" i="14"/>
  <c r="J66" i="14"/>
  <c r="I66" i="14"/>
  <c r="L65" i="14" a="1"/>
  <c r="L65" i="14" s="1"/>
  <c r="M65" i="14" s="1"/>
  <c r="K65" i="14"/>
  <c r="J65" i="14"/>
  <c r="I65" i="14"/>
  <c r="L64" i="14" a="1"/>
  <c r="L64" i="14" s="1"/>
  <c r="M64" i="14" s="1"/>
  <c r="K64" i="14"/>
  <c r="J64" i="14"/>
  <c r="I64" i="14"/>
  <c r="L63" i="14" a="1"/>
  <c r="L63" i="14" s="1"/>
  <c r="M63" i="14" s="1"/>
  <c r="K63" i="14"/>
  <c r="J63" i="14"/>
  <c r="I63" i="14"/>
  <c r="L62" i="14" a="1"/>
  <c r="L62" i="14" s="1"/>
  <c r="M62" i="14" s="1"/>
  <c r="K62" i="14"/>
  <c r="J62" i="14"/>
  <c r="I62" i="14"/>
  <c r="L61" i="14" a="1"/>
  <c r="L61" i="14" s="1"/>
  <c r="M61" i="14" s="1"/>
  <c r="K61" i="14"/>
  <c r="J61" i="14"/>
  <c r="I61" i="14"/>
  <c r="L60" i="14" a="1"/>
  <c r="L60" i="14" s="1"/>
  <c r="M60" i="14" s="1"/>
  <c r="K60" i="14"/>
  <c r="J60" i="14"/>
  <c r="I60" i="14"/>
  <c r="L59" i="14" a="1"/>
  <c r="L59" i="14" s="1"/>
  <c r="M59" i="14" s="1"/>
  <c r="K59" i="14"/>
  <c r="J59" i="14"/>
  <c r="I59" i="14"/>
  <c r="L58" i="14" a="1"/>
  <c r="L58" i="14" s="1"/>
  <c r="M58" i="14" s="1"/>
  <c r="K58" i="14"/>
  <c r="J58" i="14"/>
  <c r="I58" i="14"/>
  <c r="L57" i="14" a="1"/>
  <c r="L57" i="14" s="1"/>
  <c r="M57" i="14" s="1"/>
  <c r="K57" i="14"/>
  <c r="J57" i="14"/>
  <c r="I57" i="14"/>
  <c r="L56" i="14" a="1"/>
  <c r="L56" i="14" s="1"/>
  <c r="M56" i="14" s="1"/>
  <c r="K56" i="14"/>
  <c r="J56" i="14"/>
  <c r="I56" i="14"/>
  <c r="L55" i="14" a="1"/>
  <c r="L55" i="14" s="1"/>
  <c r="M55" i="14" s="1"/>
  <c r="K55" i="14"/>
  <c r="J55" i="14"/>
  <c r="I55" i="14"/>
  <c r="L54" i="14" a="1"/>
  <c r="L54" i="14" s="1"/>
  <c r="M54" i="14" s="1"/>
  <c r="K54" i="14"/>
  <c r="J54" i="14"/>
  <c r="I54" i="14"/>
  <c r="L53" i="14" a="1"/>
  <c r="L53" i="14" s="1"/>
  <c r="M53" i="14" s="1"/>
  <c r="K53" i="14"/>
  <c r="J53" i="14"/>
  <c r="I53" i="14"/>
  <c r="L52" i="14" a="1"/>
  <c r="L52" i="14" s="1"/>
  <c r="M52" i="14" s="1"/>
  <c r="K52" i="14"/>
  <c r="J52" i="14"/>
  <c r="I52" i="14"/>
  <c r="L51" i="14" a="1"/>
  <c r="L51" i="14" s="1"/>
  <c r="M51" i="14" s="1"/>
  <c r="K51" i="14"/>
  <c r="J51" i="14"/>
  <c r="I51" i="14"/>
  <c r="L50" i="14" a="1"/>
  <c r="L50" i="14" s="1"/>
  <c r="M50" i="14" s="1"/>
  <c r="K50" i="14"/>
  <c r="J50" i="14"/>
  <c r="I50" i="14"/>
  <c r="L49" i="14" a="1"/>
  <c r="L49" i="14" s="1"/>
  <c r="M49" i="14" s="1"/>
  <c r="K49" i="14"/>
  <c r="J49" i="14"/>
  <c r="I49" i="14"/>
  <c r="L48" i="14" a="1"/>
  <c r="L48" i="14" s="1"/>
  <c r="M48" i="14" s="1"/>
  <c r="K48" i="14"/>
  <c r="J48" i="14"/>
  <c r="I48" i="14"/>
  <c r="L47" i="14" a="1"/>
  <c r="L47" i="14" s="1"/>
  <c r="M47" i="14" s="1"/>
  <c r="K47" i="14"/>
  <c r="J47" i="14"/>
  <c r="I47" i="14"/>
  <c r="L46" i="14" a="1"/>
  <c r="L46" i="14" s="1"/>
  <c r="M46" i="14" s="1"/>
  <c r="K46" i="14"/>
  <c r="J46" i="14"/>
  <c r="I46" i="14"/>
  <c r="L45" i="14" a="1"/>
  <c r="L45" i="14" s="1"/>
  <c r="M45" i="14" s="1"/>
  <c r="K45" i="14"/>
  <c r="J45" i="14"/>
  <c r="I45" i="14"/>
  <c r="L44" i="14" a="1"/>
  <c r="L44" i="14" s="1"/>
  <c r="M44" i="14" s="1"/>
  <c r="K44" i="14"/>
  <c r="J44" i="14"/>
  <c r="I44" i="14"/>
  <c r="L43" i="14" a="1"/>
  <c r="L43" i="14" s="1"/>
  <c r="M43" i="14" s="1"/>
  <c r="K43" i="14"/>
  <c r="J43" i="14"/>
  <c r="I43" i="14"/>
  <c r="L42" i="14" a="1"/>
  <c r="L42" i="14" s="1"/>
  <c r="M42" i="14" s="1"/>
  <c r="K42" i="14"/>
  <c r="J42" i="14"/>
  <c r="I42" i="14"/>
  <c r="L41" i="14" a="1"/>
  <c r="L41" i="14" s="1"/>
  <c r="M41" i="14" s="1"/>
  <c r="K41" i="14"/>
  <c r="J41" i="14"/>
  <c r="I41" i="14"/>
  <c r="L40" i="14" a="1"/>
  <c r="L40" i="14" s="1"/>
  <c r="M40" i="14" s="1"/>
  <c r="K40" i="14"/>
  <c r="J40" i="14"/>
  <c r="I40" i="14"/>
  <c r="L39" i="14" a="1"/>
  <c r="L39" i="14" s="1"/>
  <c r="M39" i="14" s="1"/>
  <c r="K39" i="14"/>
  <c r="J39" i="14"/>
  <c r="I39" i="14"/>
  <c r="L38" i="14" a="1"/>
  <c r="L38" i="14" s="1"/>
  <c r="M38" i="14" s="1"/>
  <c r="K38" i="14"/>
  <c r="J38" i="14"/>
  <c r="I38" i="14"/>
  <c r="L37" i="14" a="1"/>
  <c r="L37" i="14" s="1"/>
  <c r="M37" i="14" s="1"/>
  <c r="K37" i="14"/>
  <c r="J37" i="14"/>
  <c r="I37" i="14"/>
  <c r="L36" i="14" a="1"/>
  <c r="L36" i="14" s="1"/>
  <c r="M36" i="14" s="1"/>
  <c r="K36" i="14"/>
  <c r="J36" i="14"/>
  <c r="I36" i="14"/>
  <c r="L35" i="14" a="1"/>
  <c r="L35" i="14" s="1"/>
  <c r="M35" i="14" s="1"/>
  <c r="K35" i="14"/>
  <c r="J35" i="14"/>
  <c r="I35" i="14"/>
  <c r="L34" i="14" a="1"/>
  <c r="L34" i="14" s="1"/>
  <c r="M34" i="14" s="1"/>
  <c r="K34" i="14"/>
  <c r="J34" i="14"/>
  <c r="I34" i="14"/>
  <c r="L33" i="14" a="1"/>
  <c r="L33" i="14" s="1"/>
  <c r="M33" i="14" s="1"/>
  <c r="K33" i="14"/>
  <c r="J33" i="14"/>
  <c r="I33" i="14"/>
  <c r="L32" i="14" a="1"/>
  <c r="L32" i="14" s="1"/>
  <c r="M32" i="14" s="1"/>
  <c r="K32" i="14"/>
  <c r="J32" i="14"/>
  <c r="I32" i="14"/>
  <c r="L31" i="14" a="1"/>
  <c r="L31" i="14" s="1"/>
  <c r="M31" i="14" s="1"/>
  <c r="K31" i="14"/>
  <c r="J31" i="14"/>
  <c r="I31" i="14"/>
  <c r="L30" i="14" a="1"/>
  <c r="L30" i="14" s="1"/>
  <c r="M30" i="14" s="1"/>
  <c r="K30" i="14"/>
  <c r="J30" i="14"/>
  <c r="I30" i="14"/>
  <c r="L29" i="14" a="1"/>
  <c r="L29" i="14" s="1"/>
  <c r="M29" i="14" s="1"/>
  <c r="K29" i="14"/>
  <c r="J29" i="14"/>
  <c r="I29" i="14"/>
  <c r="L28" i="14" a="1"/>
  <c r="L28" i="14" s="1"/>
  <c r="M28" i="14" s="1"/>
  <c r="K28" i="14"/>
  <c r="J28" i="14"/>
  <c r="I28" i="14"/>
  <c r="L27" i="14" a="1"/>
  <c r="L27" i="14" s="1"/>
  <c r="M27" i="14" s="1"/>
  <c r="K27" i="14"/>
  <c r="J27" i="14"/>
  <c r="I27" i="14"/>
  <c r="L26" i="14" a="1"/>
  <c r="L26" i="14" s="1"/>
  <c r="M26" i="14" s="1"/>
  <c r="K26" i="14"/>
  <c r="J26" i="14"/>
  <c r="I26" i="14"/>
  <c r="L25" i="14" a="1"/>
  <c r="L25" i="14" s="1"/>
  <c r="M25" i="14" s="1"/>
  <c r="K25" i="14"/>
  <c r="J25" i="14"/>
  <c r="I25" i="14"/>
  <c r="L24" i="14" a="1"/>
  <c r="L24" i="14" s="1"/>
  <c r="M24" i="14" s="1"/>
  <c r="K24" i="14"/>
  <c r="J24" i="14"/>
  <c r="I24" i="14"/>
  <c r="L23" i="14" a="1"/>
  <c r="L23" i="14" s="1"/>
  <c r="M23" i="14" s="1"/>
  <c r="K23" i="14"/>
  <c r="J23" i="14"/>
  <c r="I23" i="14"/>
  <c r="L22" i="14" a="1"/>
  <c r="L22" i="14" s="1"/>
  <c r="M22" i="14" s="1"/>
  <c r="K22" i="14"/>
  <c r="J22" i="14"/>
  <c r="I22" i="14"/>
  <c r="L21" i="14" a="1"/>
  <c r="L21" i="14" s="1"/>
  <c r="M21" i="14" s="1"/>
  <c r="K21" i="14"/>
  <c r="J21" i="14"/>
  <c r="I21" i="14"/>
  <c r="L20" i="14" a="1"/>
  <c r="L20" i="14" s="1"/>
  <c r="M20" i="14" s="1"/>
  <c r="K20" i="14"/>
  <c r="J20" i="14"/>
  <c r="I20" i="14"/>
  <c r="L19" i="14" a="1"/>
  <c r="L19" i="14" s="1"/>
  <c r="M19" i="14" s="1"/>
  <c r="K19" i="14"/>
  <c r="J19" i="14"/>
  <c r="I19" i="14"/>
  <c r="L18" i="14" a="1"/>
  <c r="L18" i="14" s="1"/>
  <c r="M18" i="14" s="1"/>
  <c r="K18" i="14"/>
  <c r="J18" i="14"/>
  <c r="I18" i="14"/>
  <c r="L17" i="14" a="1"/>
  <c r="L17" i="14" s="1"/>
  <c r="M17" i="14" s="1"/>
  <c r="K17" i="14"/>
  <c r="J17" i="14"/>
  <c r="I17" i="14"/>
  <c r="L16" i="14" a="1"/>
  <c r="L16" i="14" s="1"/>
  <c r="M16" i="14" s="1"/>
  <c r="K16" i="14"/>
  <c r="J16" i="14"/>
  <c r="I16" i="14"/>
  <c r="L15" i="14" a="1"/>
  <c r="L15" i="14" s="1"/>
  <c r="M15" i="14" s="1"/>
  <c r="K15" i="14"/>
  <c r="J15" i="14"/>
  <c r="I15" i="14"/>
  <c r="L14" i="14" a="1"/>
  <c r="L14" i="14" s="1"/>
  <c r="M14" i="14" s="1"/>
  <c r="K14" i="14"/>
  <c r="J14" i="14"/>
  <c r="I14" i="14"/>
  <c r="L13" i="14" a="1"/>
  <c r="L13" i="14" s="1"/>
  <c r="M13" i="14" s="1"/>
  <c r="K13" i="14"/>
  <c r="J13" i="14"/>
  <c r="I13" i="14"/>
  <c r="L12" i="14" a="1"/>
  <c r="L12" i="14" s="1"/>
  <c r="M12" i="14" s="1"/>
  <c r="K12" i="14"/>
  <c r="J12" i="14"/>
  <c r="I12" i="14"/>
  <c r="L11" i="14" a="1"/>
  <c r="L11" i="14" s="1"/>
  <c r="M11" i="14" s="1"/>
  <c r="K11" i="14"/>
  <c r="J11" i="14"/>
  <c r="I11" i="14"/>
  <c r="L10" i="14" a="1"/>
  <c r="L10" i="14" s="1"/>
  <c r="M10" i="14" s="1"/>
  <c r="K10" i="14"/>
  <c r="J10" i="14"/>
  <c r="I10" i="14"/>
  <c r="L9" i="14" a="1"/>
  <c r="L9" i="14" s="1"/>
  <c r="M9" i="14" s="1"/>
  <c r="K9" i="14"/>
  <c r="J9" i="14"/>
  <c r="I9" i="14"/>
  <c r="L8" i="14" a="1"/>
  <c r="L8" i="14" s="1"/>
  <c r="M8" i="14" s="1"/>
  <c r="K8" i="14"/>
  <c r="J8" i="14"/>
  <c r="I8" i="14"/>
  <c r="L7" i="14" a="1"/>
  <c r="L7" i="14" s="1"/>
  <c r="M7" i="14" s="1"/>
  <c r="K7" i="14"/>
  <c r="J7" i="14"/>
  <c r="I7" i="14"/>
  <c r="L6" i="14" a="1"/>
  <c r="L6" i="14" s="1"/>
  <c r="M6" i="14" s="1"/>
  <c r="K6" i="14"/>
  <c r="J6" i="14"/>
  <c r="I6" i="14"/>
  <c r="L5" i="14" a="1"/>
  <c r="L5" i="14" s="1"/>
  <c r="M5" i="14" s="1"/>
  <c r="K5" i="14"/>
  <c r="J5" i="14"/>
  <c r="I5" i="14"/>
  <c r="L4" i="14" a="1"/>
  <c r="L4" i="14" s="1"/>
  <c r="M4" i="14" s="1"/>
  <c r="K4" i="14"/>
  <c r="J4" i="14"/>
  <c r="I4" i="14"/>
  <c r="L3" i="14" a="1"/>
  <c r="L3" i="14" s="1"/>
  <c r="M3" i="14" s="1"/>
  <c r="K3" i="14"/>
  <c r="J3" i="14"/>
  <c r="I3" i="14"/>
  <c r="L2" i="14" a="1"/>
  <c r="L2" i="14" s="1"/>
  <c r="M2" i="14" s="1"/>
  <c r="K2" i="14"/>
  <c r="J2" i="14"/>
  <c r="I2" i="14"/>
  <c r="G24" i="5"/>
  <c r="G25" i="5" s="1"/>
  <c r="G18" i="5"/>
  <c r="G19" i="5"/>
  <c r="G20" i="5"/>
  <c r="G21" i="5"/>
  <c r="G22" i="5"/>
  <c r="G17" i="5"/>
  <c r="M10" i="4"/>
  <c r="M66" i="4"/>
  <c r="M138" i="4"/>
  <c r="L3" i="4" a="1"/>
  <c r="L3" i="4" s="1"/>
  <c r="M3" i="4" s="1"/>
  <c r="L4" i="4" a="1"/>
  <c r="L4" i="4" s="1"/>
  <c r="M4" i="4" s="1"/>
  <c r="L5" i="4" a="1"/>
  <c r="L5" i="4" s="1"/>
  <c r="M5" i="4" s="1"/>
  <c r="L6" i="4" a="1"/>
  <c r="L6" i="4" s="1"/>
  <c r="M6" i="4" s="1"/>
  <c r="L7" i="4" a="1"/>
  <c r="L7" i="4" s="1"/>
  <c r="M7" i="4" s="1"/>
  <c r="L8" i="4" a="1"/>
  <c r="L8" i="4" s="1"/>
  <c r="M8" i="4" s="1"/>
  <c r="L9" i="4" a="1"/>
  <c r="L9" i="4" s="1"/>
  <c r="M9" i="4" s="1"/>
  <c r="L10" i="4" a="1"/>
  <c r="L10" i="4" s="1"/>
  <c r="L11" i="4" a="1"/>
  <c r="L11" i="4" s="1"/>
  <c r="M11" i="4" s="1"/>
  <c r="L12" i="4" a="1"/>
  <c r="L12" i="4" s="1"/>
  <c r="M12" i="4" s="1"/>
  <c r="L13" i="4" a="1"/>
  <c r="L13" i="4" s="1"/>
  <c r="M13" i="4" s="1"/>
  <c r="L14" i="4" a="1"/>
  <c r="L14" i="4" s="1"/>
  <c r="M14" i="4" s="1"/>
  <c r="L15" i="4" a="1"/>
  <c r="L15" i="4" s="1"/>
  <c r="M15" i="4" s="1"/>
  <c r="L16" i="4" a="1"/>
  <c r="L16" i="4" s="1"/>
  <c r="M16" i="4" s="1"/>
  <c r="L17" i="4" a="1"/>
  <c r="L17" i="4" s="1"/>
  <c r="M17" i="4" s="1"/>
  <c r="L18" i="4" a="1"/>
  <c r="L18" i="4" s="1"/>
  <c r="M18" i="4" s="1"/>
  <c r="L19" i="4" a="1"/>
  <c r="L19" i="4" s="1"/>
  <c r="M19" i="4" s="1"/>
  <c r="L20" i="4" a="1"/>
  <c r="L20" i="4" s="1"/>
  <c r="M20" i="4" s="1"/>
  <c r="L21" i="4" a="1"/>
  <c r="L21" i="4" s="1"/>
  <c r="M21" i="4" s="1"/>
  <c r="L22" i="4" a="1"/>
  <c r="L22" i="4" s="1"/>
  <c r="M22" i="4" s="1"/>
  <c r="L23" i="4" a="1"/>
  <c r="L23" i="4" s="1"/>
  <c r="M23" i="4" s="1"/>
  <c r="L24" i="4" a="1"/>
  <c r="L24" i="4" s="1"/>
  <c r="M24" i="4" s="1"/>
  <c r="L25" i="4" a="1"/>
  <c r="L25" i="4" s="1"/>
  <c r="M25" i="4" s="1"/>
  <c r="L26" i="4" a="1"/>
  <c r="L26" i="4" s="1"/>
  <c r="M26" i="4" s="1"/>
  <c r="L27" i="4" a="1"/>
  <c r="L27" i="4" s="1"/>
  <c r="M27" i="4" s="1"/>
  <c r="L28" i="4" a="1"/>
  <c r="L28" i="4" s="1"/>
  <c r="M28" i="4" s="1"/>
  <c r="L29" i="4" a="1"/>
  <c r="L29" i="4" s="1"/>
  <c r="M29" i="4" s="1"/>
  <c r="L30" i="4" a="1"/>
  <c r="L30" i="4" s="1"/>
  <c r="M30" i="4" s="1"/>
  <c r="L31" i="4" a="1"/>
  <c r="L31" i="4" s="1"/>
  <c r="M31" i="4" s="1"/>
  <c r="L32" i="4" a="1"/>
  <c r="L32" i="4" s="1"/>
  <c r="M32" i="4" s="1"/>
  <c r="L33" i="4" a="1"/>
  <c r="L33" i="4" s="1"/>
  <c r="M33" i="4" s="1"/>
  <c r="L34" i="4" a="1"/>
  <c r="L34" i="4" s="1"/>
  <c r="M34" i="4" s="1"/>
  <c r="L35" i="4" a="1"/>
  <c r="L35" i="4" s="1"/>
  <c r="M35" i="4" s="1"/>
  <c r="L36" i="4" a="1"/>
  <c r="L36" i="4" s="1"/>
  <c r="M36" i="4" s="1"/>
  <c r="L37" i="4" a="1"/>
  <c r="L37" i="4" s="1"/>
  <c r="M37" i="4" s="1"/>
  <c r="L38" i="4" a="1"/>
  <c r="L38" i="4" s="1"/>
  <c r="M38" i="4" s="1"/>
  <c r="L39" i="4" a="1"/>
  <c r="L39" i="4" s="1"/>
  <c r="M39" i="4" s="1"/>
  <c r="L40" i="4" a="1"/>
  <c r="L40" i="4" s="1"/>
  <c r="M40" i="4" s="1"/>
  <c r="L41" i="4" a="1"/>
  <c r="L41" i="4" s="1"/>
  <c r="M41" i="4" s="1"/>
  <c r="L42" i="4" a="1"/>
  <c r="L42" i="4" s="1"/>
  <c r="M42" i="4" s="1"/>
  <c r="L43" i="4" a="1"/>
  <c r="L43" i="4" s="1"/>
  <c r="M43" i="4" s="1"/>
  <c r="L44" i="4" a="1"/>
  <c r="L44" i="4" s="1"/>
  <c r="M44" i="4" s="1"/>
  <c r="L45" i="4" a="1"/>
  <c r="L45" i="4" s="1"/>
  <c r="M45" i="4" s="1"/>
  <c r="L46" i="4" a="1"/>
  <c r="L46" i="4" s="1"/>
  <c r="M46" i="4" s="1"/>
  <c r="L47" i="4" a="1"/>
  <c r="L47" i="4" s="1"/>
  <c r="M47" i="4" s="1"/>
  <c r="L48" i="4" a="1"/>
  <c r="L48" i="4" s="1"/>
  <c r="M48" i="4" s="1"/>
  <c r="L49" i="4" a="1"/>
  <c r="L49" i="4" s="1"/>
  <c r="M49" i="4" s="1"/>
  <c r="L50" i="4" a="1"/>
  <c r="L50" i="4" s="1"/>
  <c r="M50" i="4" s="1"/>
  <c r="L51" i="4" a="1"/>
  <c r="L51" i="4" s="1"/>
  <c r="M51" i="4" s="1"/>
  <c r="L52" i="4" a="1"/>
  <c r="L52" i="4" s="1"/>
  <c r="M52" i="4" s="1"/>
  <c r="L53" i="4" a="1"/>
  <c r="L53" i="4" s="1"/>
  <c r="M53" i="4" s="1"/>
  <c r="L54" i="4" a="1"/>
  <c r="L54" i="4" s="1"/>
  <c r="M54" i="4" s="1"/>
  <c r="L55" i="4" a="1"/>
  <c r="L55" i="4" s="1"/>
  <c r="M55" i="4" s="1"/>
  <c r="L56" i="4" a="1"/>
  <c r="L56" i="4" s="1"/>
  <c r="M56" i="4" s="1"/>
  <c r="L57" i="4" a="1"/>
  <c r="L57" i="4" s="1"/>
  <c r="M57" i="4" s="1"/>
  <c r="L58" i="4" a="1"/>
  <c r="L58" i="4" s="1"/>
  <c r="M58" i="4" s="1"/>
  <c r="L59" i="4" a="1"/>
  <c r="L59" i="4" s="1"/>
  <c r="M59" i="4" s="1"/>
  <c r="L60" i="4" a="1"/>
  <c r="L60" i="4" s="1"/>
  <c r="M60" i="4" s="1"/>
  <c r="L61" i="4" a="1"/>
  <c r="L61" i="4" s="1"/>
  <c r="M61" i="4" s="1"/>
  <c r="L62" i="4" a="1"/>
  <c r="L62" i="4" s="1"/>
  <c r="M62" i="4" s="1"/>
  <c r="L63" i="4" a="1"/>
  <c r="L63" i="4" s="1"/>
  <c r="M63" i="4" s="1"/>
  <c r="L64" i="4" a="1"/>
  <c r="L64" i="4" s="1"/>
  <c r="M64" i="4" s="1"/>
  <c r="L65" i="4" a="1"/>
  <c r="L65" i="4" s="1"/>
  <c r="M65" i="4" s="1"/>
  <c r="L66" i="4" a="1"/>
  <c r="L66" i="4" s="1"/>
  <c r="L67" i="4" a="1"/>
  <c r="L67" i="4" s="1"/>
  <c r="M67" i="4" s="1"/>
  <c r="L68" i="4" a="1"/>
  <c r="L68" i="4" s="1"/>
  <c r="M68" i="4" s="1"/>
  <c r="L69" i="4" a="1"/>
  <c r="L69" i="4" s="1"/>
  <c r="M69" i="4" s="1"/>
  <c r="L70" i="4" a="1"/>
  <c r="L70" i="4"/>
  <c r="M70" i="4" s="1"/>
  <c r="L71" i="4" a="1"/>
  <c r="L71" i="4" s="1"/>
  <c r="M71" i="4" s="1"/>
  <c r="L72" i="4" a="1"/>
  <c r="L72" i="4" s="1"/>
  <c r="M72" i="4" s="1"/>
  <c r="L73" i="4" a="1"/>
  <c r="L73" i="4" s="1"/>
  <c r="M73" i="4" s="1"/>
  <c r="L74" i="4" a="1"/>
  <c r="L74" i="4" s="1"/>
  <c r="M74" i="4" s="1"/>
  <c r="L75" i="4" a="1"/>
  <c r="L75" i="4" s="1"/>
  <c r="M75" i="4" s="1"/>
  <c r="L76" i="4" a="1"/>
  <c r="L76" i="4" s="1"/>
  <c r="M76" i="4" s="1"/>
  <c r="L77" i="4" a="1"/>
  <c r="L77" i="4" s="1"/>
  <c r="M77" i="4" s="1"/>
  <c r="L78" i="4" a="1"/>
  <c r="L78" i="4" s="1"/>
  <c r="M78" i="4" s="1"/>
  <c r="L79" i="4" a="1"/>
  <c r="L79" i="4" s="1"/>
  <c r="M79" i="4" s="1"/>
  <c r="L80" i="4" a="1"/>
  <c r="L80" i="4" s="1"/>
  <c r="M80" i="4" s="1"/>
  <c r="L81" i="4" a="1"/>
  <c r="L81" i="4" s="1"/>
  <c r="M81" i="4" s="1"/>
  <c r="L82" i="4" a="1"/>
  <c r="L82" i="4" s="1"/>
  <c r="M82" i="4" s="1"/>
  <c r="L83" i="4" a="1"/>
  <c r="L83" i="4" s="1"/>
  <c r="M83" i="4" s="1"/>
  <c r="L84" i="4" a="1"/>
  <c r="L84" i="4" s="1"/>
  <c r="M84" i="4" s="1"/>
  <c r="L85" i="4" a="1"/>
  <c r="L85" i="4" s="1"/>
  <c r="M85" i="4" s="1"/>
  <c r="L86" i="4" a="1"/>
  <c r="L86" i="4" s="1"/>
  <c r="M86" i="4" s="1"/>
  <c r="L87" i="4" a="1"/>
  <c r="L87" i="4" s="1"/>
  <c r="M87" i="4" s="1"/>
  <c r="L88" i="4" a="1"/>
  <c r="L88" i="4" s="1"/>
  <c r="M88" i="4" s="1"/>
  <c r="L89" i="4" a="1"/>
  <c r="L89" i="4" s="1"/>
  <c r="M89" i="4" s="1"/>
  <c r="L90" i="4" a="1"/>
  <c r="L90" i="4" s="1"/>
  <c r="M90" i="4" s="1"/>
  <c r="L91" i="4" a="1"/>
  <c r="L91" i="4" s="1"/>
  <c r="M91" i="4" s="1"/>
  <c r="L92" i="4" a="1"/>
  <c r="L92" i="4" s="1"/>
  <c r="M92" i="4" s="1"/>
  <c r="L93" i="4" a="1"/>
  <c r="L93" i="4" s="1"/>
  <c r="M93" i="4" s="1"/>
  <c r="L94" i="4" a="1"/>
  <c r="L94" i="4" s="1"/>
  <c r="M94" i="4" s="1"/>
  <c r="L95" i="4" a="1"/>
  <c r="L95" i="4" s="1"/>
  <c r="M95" i="4" s="1"/>
  <c r="L96" i="4" a="1"/>
  <c r="L96" i="4" s="1"/>
  <c r="M96" i="4" s="1"/>
  <c r="L97" i="4" a="1"/>
  <c r="L97" i="4" s="1"/>
  <c r="M97" i="4" s="1"/>
  <c r="L98" i="4" a="1"/>
  <c r="L98" i="4" s="1"/>
  <c r="M98" i="4" s="1"/>
  <c r="L99" i="4" a="1"/>
  <c r="L99" i="4" s="1"/>
  <c r="M99" i="4" s="1"/>
  <c r="L100" i="4" a="1"/>
  <c r="L100" i="4" s="1"/>
  <c r="M100" i="4" s="1"/>
  <c r="L101" i="4" a="1"/>
  <c r="L101" i="4" s="1"/>
  <c r="M101" i="4" s="1"/>
  <c r="L102" i="4" a="1"/>
  <c r="L102" i="4" s="1"/>
  <c r="M102" i="4" s="1"/>
  <c r="L103" i="4" a="1"/>
  <c r="L103" i="4" s="1"/>
  <c r="M103" i="4" s="1"/>
  <c r="L104" i="4" a="1"/>
  <c r="L104" i="4" s="1"/>
  <c r="M104" i="4" s="1"/>
  <c r="L105" i="4" a="1"/>
  <c r="L105" i="4" s="1"/>
  <c r="M105" i="4" s="1"/>
  <c r="L106" i="4" a="1"/>
  <c r="L106" i="4" s="1"/>
  <c r="M106" i="4" s="1"/>
  <c r="L107" i="4" a="1"/>
  <c r="L107" i="4" s="1"/>
  <c r="M107" i="4" s="1"/>
  <c r="L108" i="4" a="1"/>
  <c r="L108" i="4" s="1"/>
  <c r="M108" i="4" s="1"/>
  <c r="L109" i="4" a="1"/>
  <c r="L109" i="4" s="1"/>
  <c r="M109" i="4" s="1"/>
  <c r="L110" i="4" a="1"/>
  <c r="L110" i="4"/>
  <c r="M110" i="4" s="1"/>
  <c r="L111" i="4" a="1"/>
  <c r="L111" i="4" s="1"/>
  <c r="M111" i="4" s="1"/>
  <c r="L112" i="4" a="1"/>
  <c r="L112" i="4" s="1"/>
  <c r="M112" i="4" s="1"/>
  <c r="L113" i="4" a="1"/>
  <c r="L113" i="4" s="1"/>
  <c r="M113" i="4" s="1"/>
  <c r="L114" i="4" a="1"/>
  <c r="L114" i="4" s="1"/>
  <c r="M114" i="4" s="1"/>
  <c r="L115" i="4" a="1"/>
  <c r="L115" i="4" s="1"/>
  <c r="M115" i="4" s="1"/>
  <c r="L116" i="4" a="1"/>
  <c r="L116" i="4" s="1"/>
  <c r="M116" i="4" s="1"/>
  <c r="L117" i="4" a="1"/>
  <c r="L117" i="4" s="1"/>
  <c r="M117" i="4" s="1"/>
  <c r="L118" i="4" a="1"/>
  <c r="L118" i="4" s="1"/>
  <c r="M118" i="4" s="1"/>
  <c r="L119" i="4" a="1"/>
  <c r="L119" i="4" s="1"/>
  <c r="M119" i="4" s="1"/>
  <c r="L120" i="4" a="1"/>
  <c r="L120" i="4" s="1"/>
  <c r="M120" i="4" s="1"/>
  <c r="L121" i="4" a="1"/>
  <c r="L121" i="4" s="1"/>
  <c r="M121" i="4" s="1"/>
  <c r="L122" i="4" a="1"/>
  <c r="L122" i="4" s="1"/>
  <c r="M122" i="4" s="1"/>
  <c r="L123" i="4" a="1"/>
  <c r="L123" i="4" s="1"/>
  <c r="M123" i="4" s="1"/>
  <c r="L124" i="4" a="1"/>
  <c r="L124" i="4" s="1"/>
  <c r="M124" i="4" s="1"/>
  <c r="L125" i="4" a="1"/>
  <c r="L125" i="4" s="1"/>
  <c r="M125" i="4" s="1"/>
  <c r="L126" i="4" a="1"/>
  <c r="L126" i="4" s="1"/>
  <c r="M126" i="4" s="1"/>
  <c r="L127" i="4" a="1"/>
  <c r="L127" i="4" s="1"/>
  <c r="M127" i="4" s="1"/>
  <c r="L128" i="4" a="1"/>
  <c r="L128" i="4" s="1"/>
  <c r="M128" i="4" s="1"/>
  <c r="L129" i="4" a="1"/>
  <c r="L129" i="4" s="1"/>
  <c r="M129" i="4" s="1"/>
  <c r="L130" i="4" a="1"/>
  <c r="L130" i="4" s="1"/>
  <c r="M130" i="4" s="1"/>
  <c r="L131" i="4" a="1"/>
  <c r="L131" i="4" s="1"/>
  <c r="M131" i="4" s="1"/>
  <c r="L132" i="4" a="1"/>
  <c r="L132" i="4" s="1"/>
  <c r="M132" i="4" s="1"/>
  <c r="L133" i="4" a="1"/>
  <c r="L133" i="4" s="1"/>
  <c r="M133" i="4" s="1"/>
  <c r="L134" i="4" a="1"/>
  <c r="L134" i="4" s="1"/>
  <c r="M134" i="4" s="1"/>
  <c r="L135" i="4" a="1"/>
  <c r="L135" i="4" s="1"/>
  <c r="M135" i="4" s="1"/>
  <c r="L136" i="4" a="1"/>
  <c r="L136" i="4" s="1"/>
  <c r="M136" i="4" s="1"/>
  <c r="L137" i="4" a="1"/>
  <c r="L137" i="4" s="1"/>
  <c r="M137" i="4" s="1"/>
  <c r="L138" i="4" a="1"/>
  <c r="L138" i="4" s="1"/>
  <c r="L139" i="4" a="1"/>
  <c r="L139" i="4" s="1"/>
  <c r="M139" i="4" s="1"/>
  <c r="L140" i="4" a="1"/>
  <c r="L140" i="4" s="1"/>
  <c r="M140" i="4" s="1"/>
  <c r="L141" i="4" a="1"/>
  <c r="L141" i="4" s="1"/>
  <c r="M141" i="4" s="1"/>
  <c r="L142" i="4" a="1"/>
  <c r="L142" i="4" s="1"/>
  <c r="M142" i="4" s="1"/>
  <c r="L143" i="4" a="1"/>
  <c r="L143" i="4" s="1"/>
  <c r="M143" i="4" s="1"/>
  <c r="L144" i="4" a="1"/>
  <c r="L144" i="4" s="1"/>
  <c r="M144" i="4" s="1"/>
  <c r="L145" i="4" a="1"/>
  <c r="L145" i="4" s="1"/>
  <c r="M145" i="4" s="1"/>
  <c r="L146" i="4" a="1"/>
  <c r="L146" i="4" s="1"/>
  <c r="M146" i="4" s="1"/>
  <c r="L147" i="4" a="1"/>
  <c r="L147" i="4" s="1"/>
  <c r="M147" i="4" s="1"/>
  <c r="L148" i="4" a="1"/>
  <c r="L148" i="4" s="1"/>
  <c r="M148" i="4" s="1"/>
  <c r="L149" i="4" a="1"/>
  <c r="L149" i="4" s="1"/>
  <c r="M149" i="4" s="1"/>
  <c r="L150" i="4" a="1"/>
  <c r="L150" i="4" s="1"/>
  <c r="M150" i="4" s="1"/>
  <c r="L151" i="4" a="1"/>
  <c r="L151" i="4" s="1"/>
  <c r="M151" i="4" s="1"/>
  <c r="L2" i="4" a="1"/>
  <c r="L2" i="4" s="1"/>
  <c r="M2" i="4" s="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J24" i="5"/>
  <c r="B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47BED3-8368-49F8-AEA9-6ACD2C4661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8F7BC3-331A-4C74-83F3-C86A1AED9DA2}" name="WorksheetConnection_Raw_Employee_Data!$A:$M" type="102" refreshedVersion="8" minRefreshableVersion="5">
    <extLst>
      <ext xmlns:x15="http://schemas.microsoft.com/office/spreadsheetml/2010/11/main" uri="{DE250136-89BD-433C-8126-D09CA5730AF9}">
        <x15:connection id="Range" autoDelete="1">
          <x15:rangePr sourceName="_xlcn.WorksheetConnection_Raw_Employee_DataAM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<sst xmlns="http://schemas.openxmlformats.org/spreadsheetml/2006/main" count="1618" uniqueCount="234">
  <si>
    <t>Emp ID</t>
  </si>
  <si>
    <t>First_Name</t>
  </si>
  <si>
    <t>Last_Name</t>
  </si>
  <si>
    <t>Dept Code</t>
  </si>
  <si>
    <t>Hire Date</t>
  </si>
  <si>
    <t>Salary</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</si>
  <si>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</si>
  <si>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</si>
  <si>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</si>
  <si>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</si>
  <si>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</si>
  <si>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</si>
  <si>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</si>
  <si>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</si>
  <si>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</si>
  <si>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</si>
  <si>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</si>
  <si>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</si>
  <si>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</si>
  <si>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</si>
  <si>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</si>
  <si>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</si>
  <si>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</si>
  <si>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</si>
  <si>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</si>
  <si>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</si>
  <si>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</si>
  <si>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</si>
  <si>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</si>
  <si>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</si>
  <si>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</si>
  <si>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</si>
  <si>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</si>
  <si>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</si>
  <si>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</si>
  <si>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</si>
  <si>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</si>
  <si>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</si>
  <si>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</si>
  <si>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</si>
  <si>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</si>
  <si>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</si>
  <si>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</si>
  <si>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</si>
  <si>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</si>
  <si>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</si>
  <si>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</si>
  <si>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</si>
  <si>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</si>
  <si>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</si>
  <si>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</si>
  <si>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</si>
  <si>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</si>
  <si>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</si>
  <si>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</si>
  <si>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</si>
  <si>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</si>
  <si>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</si>
  <si>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</si>
  <si>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</si>
  <si>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</si>
  <si>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</si>
  <si>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</si>
  <si>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</si>
  <si>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</si>
  <si>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</si>
  <si>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</si>
  <si>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</si>
  <si>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</si>
  <si>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</si>
  <si>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</si>
  <si>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</si>
  <si>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</si>
  <si>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</si>
  <si>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</si>
  <si>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</si>
  <si>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</si>
  <si>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</si>
  <si>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</si>
  <si>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</si>
  <si>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</si>
  <si>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</si>
  <si>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</si>
  <si>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</si>
  <si>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</si>
  <si>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</si>
  <si>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</si>
  <si>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</si>
  <si>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</si>
  <si>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</si>
  <si>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</si>
  <si>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</si>
  <si>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</si>
  <si>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</si>
  <si>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</si>
  <si>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</si>
  <si>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</si>
  <si>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</si>
  <si>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</si>
  <si>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</si>
  <si>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</si>
  <si>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</si>
  <si>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</si>
  <si>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</si>
  <si>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</si>
  <si>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</si>
  <si>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</si>
  <si>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</si>
  <si>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</si>
  <si>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</si>
  <si>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</si>
  <si>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</si>
  <si>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</si>
  <si>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</si>
  <si>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</si>
  <si>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</si>
  <si>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</si>
  <si>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</si>
  <si>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</si>
  <si>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</si>
  <si>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</si>
  <si>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</si>
  <si>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</si>
  <si>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</si>
  <si>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</si>
  <si>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</si>
  <si>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</si>
  <si>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</si>
  <si>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</si>
  <si>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</si>
  <si>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</si>
  <si>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</si>
  <si>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</si>
  <si>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</si>
  <si>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</si>
  <si>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</si>
  <si>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</si>
  <si>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</si>
  <si>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</si>
  <si>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</si>
  <si>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</si>
  <si>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</si>
  <si>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</si>
  <si>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</si>
  <si>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</si>
  <si>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</si>
  <si>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</si>
  <si>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</si>
  <si>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</si>
  <si>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</si>
  <si>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</si>
  <si>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</si>
  <si>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</si>
  <si>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</si>
  <si>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</si>
  <si>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</si>
  <si>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</si>
  <si>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</si>
  <si>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</si>
  <si>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</si>
  <si>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</si>
  <si>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</si>
  <si>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</si>
  <si>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</si>
  <si>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</si>
  <si>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</si>
  <si>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</si>
  <si>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</si>
  <si>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</si>
  <si>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</si>
  <si>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</si>
  <si>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</si>
  <si>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</si>
  <si>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</si>
  <si>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</si>
  <si>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</si>
  <si>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</si>
  <si>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</si>
  <si>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</si>
  <si>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</si>
  <si>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</si>
  <si>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</si>
  <si>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</si>
  <si>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</si>
  <si>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</si>
  <si>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</si>
  <si>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</si>
  <si>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</si>
  <si>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</si>
  <si>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</si>
  <si>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</si>
  <si>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</si>
  <si>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</si>
  <si>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</si>
  <si>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</si>
  <si>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</si>
  <si>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</si>
  <si>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</si>
  <si>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</si>
  <si>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</si>
  <si>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</si>
  <si>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</si>
  <si>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</si>
  <si>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</si>
  <si>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</si>
  <si>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</si>
  <si>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</si>
  <si>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</si>
  <si>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</si>
  <si>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</si>
  <si>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</si>
  <si>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</si>
  <si>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</si>
  <si>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Department Name</t>
  </si>
  <si>
    <t>Years of Service</t>
  </si>
  <si>
    <t>Performance Band</t>
  </si>
  <si>
    <t>Eligible Amount Bonus</t>
  </si>
  <si>
    <t>Row Labels</t>
  </si>
  <si>
    <t>(blank)</t>
  </si>
  <si>
    <t>Grand Total</t>
  </si>
  <si>
    <t>Count of Emp ID</t>
  </si>
  <si>
    <t>Column Labels</t>
  </si>
  <si>
    <t>Emplyment Status</t>
  </si>
  <si>
    <t>ATTRITION RATE</t>
  </si>
  <si>
    <t>PERFORMANCE BY STATUS</t>
  </si>
  <si>
    <t>Performance Score</t>
  </si>
  <si>
    <t>Average of Performance Score</t>
  </si>
  <si>
    <t>BONUS PAYOUT</t>
  </si>
  <si>
    <t>Sum of Eligible Amount Bonus</t>
  </si>
  <si>
    <t>Attriation Rate %</t>
  </si>
  <si>
    <t>Sum of Salary</t>
  </si>
  <si>
    <t>HEADCOUNT  BY DEPARTMENT</t>
  </si>
  <si>
    <t>AVERAGE SALARY  BY DEPARTMENT</t>
  </si>
  <si>
    <t>HEADCOUNT  &amp; AVERAGE SALARY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</si>
</sst>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409]* #,##0.00_);_([$$-409]* \(#,##0.00\);_([$$-409]* &quot;-&quot;??_);_(@_)"/>
    <numFmt numFmtId="165" formatCode="m/d/yyyy;@"/>
    <numFmt numFmtId="166" formatCode="0.00;[Red]0.00"/>
    <numFmt numFmtId="167" formatCode="&quot;$&quot;#,##0.00;[Red]&quot;$&quot;#,##0.00"/>
    <numFmt numFmtId="168" formatCode="&quot;$&quot;#,##0.00"/>
  </numFmts>
  <fonts count="7" x14ac:knownFonts="1">
    <font>
      <sz val="11"/>
      <color theme="1"/>
      <name val="Calibri"/>
      <family val="2"/>
      <scheme val="minor"/>
    </font>
    <font>
      <b/>
      <sz val="11"/>
      <name val="Calibri"/>
    </font>
    <font>
      <b/>
      <sz val="11"/>
      <name val="Calibri"/>
      <family val="2"/>
    </font>
    <font>
      <sz val="11"/>
      <color theme="4" tint="-0.249977111117893"/>
      <name val="Calibri"/>
      <family val="2"/>
      <scheme val="minor"/>
    </font>
    <font>
      <sz val="8"/>
      <name val="Calibri"/>
      <family val="2"/>
      <scheme val="minor"/>
    </font>
    <font>
      <b/>
      <sz val="11"/>
      <color theme="1"/>
      <name val="Calibri"/>
      <family val="2"/>
      <scheme val="minor"/>
    </font>
    <font>
      <sz val="20"/>
      <color theme="1"/>
      <name val="Arial Black"/>
      <family val="2"/>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theme="4"/>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43" fontId="0" fillId="0" borderId="0" xfId="0" applyNumberFormat="1" applyAlignment="1">
      <alignment horizontal="right"/>
    </xf>
    <xf numFmtId="0" fontId="0" fillId="0" borderId="0" xfId="0" applyAlignment="1">
      <alignment horizontal="left"/>
    </xf>
    <xf numFmtId="0" fontId="3" fillId="2" borderId="0" xfId="0" applyFont="1" applyFill="1"/>
    <xf numFmtId="0" fontId="3" fillId="0" borderId="0" xfId="0" applyFont="1"/>
    <xf numFmtId="0" fontId="3" fillId="0" borderId="3" xfId="0" applyFont="1" applyBorder="1"/>
    <xf numFmtId="165" fontId="0" fillId="0" borderId="0" xfId="0" applyNumberFormat="1"/>
    <xf numFmtId="0" fontId="2" fillId="0" borderId="4" xfId="0" applyFont="1" applyBorder="1" applyAlignment="1">
      <alignment horizontal="center" vertical="top"/>
    </xf>
    <xf numFmtId="0" fontId="2" fillId="0" borderId="4" xfId="0" applyFont="1" applyBorder="1" applyAlignment="1">
      <alignment horizontal="left" vertical="top"/>
    </xf>
    <xf numFmtId="43" fontId="2" fillId="0" borderId="4" xfId="0" applyNumberFormat="1" applyFont="1" applyBorder="1" applyAlignment="1">
      <alignment horizontal="right" vertical="top"/>
    </xf>
    <xf numFmtId="0" fontId="3" fillId="2" borderId="2" xfId="0" applyFont="1" applyFill="1" applyBorder="1"/>
    <xf numFmtId="0" fontId="3" fillId="2" borderId="2" xfId="0" applyFont="1" applyFill="1" applyBorder="1" applyAlignment="1">
      <alignment horizontal="left"/>
    </xf>
    <xf numFmtId="164" fontId="3" fillId="2" borderId="2" xfId="0" applyNumberFormat="1" applyFont="1" applyFill="1" applyBorder="1" applyAlignment="1">
      <alignment horizontal="right"/>
    </xf>
    <xf numFmtId="0" fontId="3" fillId="0" borderId="0" xfId="0" applyFont="1" applyAlignment="1">
      <alignment horizontal="left"/>
    </xf>
    <xf numFmtId="164" fontId="3" fillId="0" borderId="0" xfId="0" applyNumberFormat="1" applyFont="1" applyAlignment="1">
      <alignment horizontal="right"/>
    </xf>
    <xf numFmtId="0" fontId="3" fillId="2" borderId="0" xfId="0" applyFont="1" applyFill="1" applyAlignment="1">
      <alignment horizontal="left"/>
    </xf>
    <xf numFmtId="164" fontId="3" fillId="2" borderId="0" xfId="0" applyNumberFormat="1" applyFont="1" applyFill="1" applyAlignment="1">
      <alignment horizontal="right"/>
    </xf>
    <xf numFmtId="0" fontId="3" fillId="0" borderId="3" xfId="0" applyFont="1" applyBorder="1" applyAlignment="1">
      <alignment horizontal="left"/>
    </xf>
    <xf numFmtId="164" fontId="3" fillId="0" borderId="3" xfId="0" applyNumberFormat="1" applyFont="1" applyBorder="1" applyAlignment="1">
      <alignment horizontal="right"/>
    </xf>
    <xf numFmtId="0" fontId="2" fillId="0" borderId="6" xfId="0" applyFont="1" applyFill="1" applyBorder="1" applyAlignment="1">
      <alignment horizontal="center" vertical="top"/>
    </xf>
    <xf numFmtId="165" fontId="1" fillId="0" borderId="1" xfId="0" applyNumberFormat="1" applyFont="1" applyBorder="1" applyAlignment="1">
      <alignment horizontal="center" vertical="top"/>
    </xf>
    <xf numFmtId="0" fontId="2" fillId="0" borderId="6" xfId="0" applyFont="1" applyFill="1" applyBorder="1" applyAlignment="1">
      <alignment horizontal="left" vertical="top"/>
    </xf>
    <xf numFmtId="0" fontId="2" fillId="0" borderId="5" xfId="0" applyFont="1" applyBorder="1" applyAlignment="1">
      <alignment horizontal="left" vertical="top"/>
    </xf>
    <xf numFmtId="0" fontId="1" fillId="0" borderId="1" xfId="0" applyFont="1" applyBorder="1" applyAlignment="1">
      <alignment horizontal="left" vertical="top"/>
    </xf>
    <xf numFmtId="164" fontId="0" fillId="0" borderId="0" xfId="0" applyNumberFormat="1"/>
    <xf numFmtId="0" fontId="0" fillId="0" borderId="0" xfId="0" pivotButton="1"/>
    <xf numFmtId="0" fontId="0" fillId="0" borderId="0" xfId="0" applyNumberFormat="1"/>
    <xf numFmtId="166" fontId="0" fillId="0" borderId="0" xfId="0" applyNumberFormat="1"/>
    <xf numFmtId="0" fontId="5" fillId="0" borderId="0" xfId="0" applyFont="1"/>
    <xf numFmtId="9" fontId="0" fillId="0" borderId="0" xfId="0" applyNumberFormat="1"/>
    <xf numFmtId="0" fontId="6" fillId="0" borderId="0" xfId="0" applyFont="1"/>
    <xf numFmtId="167" fontId="0" fillId="0" borderId="0" xfId="0" applyNumberFormat="1"/>
    <xf numFmtId="168" fontId="0" fillId="0" borderId="0" xfId="0" applyNumberFormat="1"/>
  </cellXfs>
  <cellStyles count="1">
    <cellStyle name="Normal" xfId="0" builtinId="0"/>
  </cellStyles>
  <dxfs count="13">
    <dxf>
      <numFmt numFmtId="168" formatCode="&quot;$&quot;#,##0.00"/>
    </dxf>
    <dxf>
      <numFmt numFmtId="167" formatCode="&quot;$&quot;#,##0.00;[Red]&quot;$&quot;#,##0.00"/>
    </dxf>
    <dxf>
      <numFmt numFmtId="167" formatCode="&quot;$&quot;#,##0.00;[Red]&quot;$&quot;#,##0.00"/>
    </dxf>
    <dxf>
      <numFmt numFmtId="166" formatCode="0.00;[Red]0.00"/>
    </dxf>
    <dxf>
      <numFmt numFmtId="166" formatCode="0.00;[Red]0.00"/>
    </dxf>
    <dxf>
      <numFmt numFmtId="166" formatCode="0.00;[Red]0.00"/>
    </dxf>
    <dxf>
      <numFmt numFmtId="166" formatCode="0.00;[Red]0.00"/>
    </dxf>
    <dxf>
      <numFmt numFmtId="166" formatCode="0.00;[Red]0.00"/>
    </dxf>
    <dxf>
      <numFmt numFmtId="166" formatCode="0.00;[Red]0.00"/>
    </dxf>
    <dxf>
      <font>
        <color theme="8" tint="-0.499984740745262"/>
      </font>
    </dxf>
    <dxf>
      <font>
        <u val="double"/>
        <color theme="8"/>
      </font>
    </dxf>
    <dxf>
      <font>
        <color rgb="FF3690A8"/>
      </font>
    </dxf>
    <dxf>
      <font>
        <b val="0"/>
        <i val="0"/>
        <u val="none"/>
        <sz val="9"/>
        <color theme="0"/>
        <name val="Cambria"/>
        <family val="1"/>
        <scheme val="major"/>
      </font>
      <fill>
        <patternFill patternType="lightHorizontal">
          <bgColor theme="8" tint="-0.499984740745262"/>
        </patternFill>
      </fill>
    </dxf>
  </dxfs>
  <tableStyles count="4" defaultTableStyle="TableStyleMedium9" defaultPivotStyle="PivotStyleLight16">
    <tableStyle name="Slicer Style 1" pivot="0" table="0" count="1" xr9:uid="{3EFAC100-E7FC-43DF-A91F-1C802740E7A7}">
      <tableStyleElement type="wholeTable" dxfId="12"/>
    </tableStyle>
    <tableStyle name="Slicer Style 2" pivot="0" table="0" count="1" xr9:uid="{A5653E02-E7FA-43DB-AB38-7136D8F00322}">
      <tableStyleElement type="wholeTable" dxfId="11"/>
    </tableStyle>
    <tableStyle name="Slicer Style 3" pivot="0" table="0" count="1" xr9:uid="{89472CBD-4F77-4CB9-A870-6F41BCD08734}">
      <tableStyleElement type="headerRow" dxfId="10"/>
    </tableStyle>
    <tableStyle name="Slicer Style 4" pivot="0" table="0" count="1" xr9:uid="{22B4CBD4-E38D-4113-B78B-CD73504F05BC}">
      <tableStyleElement type="wholeTable" dxfId="9"/>
    </tableStyle>
  </tableStyles>
  <colors>
    <mruColors>
      <color rgb="FF3690A8"/>
      <color rgb="FFA2D4E2"/>
      <color rgb="FFDFF0F5"/>
      <color rgb="FFB7DEE8"/>
      <color rgb="FFBCE0EA"/>
    </mruColors>
  </colors>
  <extLst>
    <ext xmlns:x14="http://schemas.microsoft.com/office/spreadsheetml/2009/9/main" uri="{EB79DEF2-80B8-43e5-95BD-54CBDDF9020C}">
      <x14:slicerStyles defaultSlicerStyle="Slicer Style 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100">
                <a:solidFill>
                  <a:schemeClr val="bg1"/>
                </a:solidFill>
                <a:latin typeface="Arial Rounded MT Bold" panose="020F0704030504030204" pitchFamily="34" charset="0"/>
              </a:rPr>
              <a:t>HEAD</a:t>
            </a:r>
            <a:r>
              <a:rPr lang="en-US" sz="1100" baseline="0">
                <a:solidFill>
                  <a:schemeClr val="bg1"/>
                </a:solidFill>
                <a:latin typeface="Arial Rounded MT Bold" panose="020F0704030504030204" pitchFamily="34" charset="0"/>
              </a:rPr>
              <a:t>COUNT BY DEPARTMENT</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c:v>
                </c:pt>
                <c:pt idx="1">
                  <c:v>4</c:v>
                </c:pt>
                <c:pt idx="2">
                  <c:v>6</c:v>
                </c:pt>
                <c:pt idx="3">
                  <c:v>3</c:v>
                </c:pt>
                <c:pt idx="4">
                  <c:v>6</c:v>
                </c:pt>
                <c:pt idx="5">
                  <c:v>8</c:v>
                </c:pt>
              </c:numCache>
            </c:numRef>
          </c:val>
          <c:extLst>
            <c:ext xmlns:c16="http://schemas.microsoft.com/office/drawing/2014/chart" uri="{C3380CC4-5D6E-409C-BE32-E72D297353CC}">
              <c16:uniqueId val="{00000000-55F6-45F6-8318-F1EA13D1C806}"/>
            </c:ext>
          </c:extLst>
        </c:ser>
        <c:dLbls>
          <c:showLegendKey val="0"/>
          <c:showVal val="1"/>
          <c:showCatName val="0"/>
          <c:showSerName val="0"/>
          <c:showPercent val="0"/>
          <c:showBubbleSize val="0"/>
        </c:dLbls>
        <c:gapWidth val="150"/>
        <c:overlap val="-25"/>
        <c:axId val="496080280"/>
        <c:axId val="496077760"/>
      </c:barChart>
      <c:catAx>
        <c:axId val="496080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layout>
            <c:manualLayout>
              <c:xMode val="edge"/>
              <c:yMode val="edge"/>
              <c:x val="0.33642030541636841"/>
              <c:y val="0.834145320442539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7760"/>
        <c:crosses val="autoZero"/>
        <c:auto val="1"/>
        <c:lblAlgn val="ctr"/>
        <c:lblOffset val="100"/>
        <c:noMultiLvlLbl val="0"/>
      </c:catAx>
      <c:valAx>
        <c:axId val="496077760"/>
        <c:scaling>
          <c:orientation val="minMax"/>
        </c:scaling>
        <c:delete val="1"/>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800">
                    <a:latin typeface="Arial Rounded MT Bold" panose="020F0704030504030204" pitchFamily="34" charset="0"/>
                  </a:rPr>
                  <a:t>Employee</a:t>
                </a:r>
                <a:r>
                  <a:rPr lang="en-US" sz="800" baseline="0">
                    <a:latin typeface="Arial Rounded MT Bold" panose="020F0704030504030204" pitchFamily="34" charset="0"/>
                  </a:rPr>
                  <a:t> I.D Count</a:t>
                </a:r>
                <a:endParaRPr lang="en-US" sz="800">
                  <a:latin typeface="Arial Rounded MT Bold" panose="020F0704030504030204" pitchFamily="34" charset="0"/>
                </a:endParaRPr>
              </a:p>
            </c:rich>
          </c:tx>
          <c:layout>
            <c:manualLayout>
              <c:xMode val="edge"/>
              <c:yMode val="edge"/>
              <c:x val="4.1666666666666664E-2"/>
              <c:y val="0.181045051330609"/>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crossAx val="496080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[HR_Capstone_Completed_Ayodele_Fisayo_Temitope.xlsx]Analysis!PivotTable8</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Arial Rounded MT Bold" panose="020F0704030504030204" pitchFamily="34" charset="0"/>
              </a:rPr>
              <a:t>AVERAGE PERFORMANCE</a:t>
            </a:r>
            <a:r>
              <a:rPr lang="en-US" sz="1100" baseline="0">
                <a:solidFill>
                  <a:schemeClr val="bg1"/>
                </a:solidFill>
                <a:latin typeface="Arial Rounded MT Bold" panose="020F0704030504030204" pitchFamily="34" charset="0"/>
              </a:rPr>
              <a:t> SCORE BY EMPLOYMENT STATUS </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Analysis!$F$4:$F$8</c:f>
              <c:strCache>
                <c:ptCount val="4"/>
                <c:pt idx="0">
                  <c:v>Active</c:v>
                </c:pt>
                <c:pt idx="1">
                  <c:v>Left</c:v>
                </c:pt>
                <c:pt idx="2">
                  <c:v>Resigned</c:v>
                </c:pt>
                <c:pt idx="3">
                  <c:v>(blank)</c:v>
                </c:pt>
              </c:strCache>
            </c:strRef>
          </c:cat>
          <c:val>
            <c:numRef>
              <c:f>Analysis!$G$4:$G$8</c:f>
              <c:numCache>
                <c:formatCode>General</c:formatCode>
                <c:ptCount val="4"/>
                <c:pt idx="0">
                  <c:v>67.034482758620683</c:v>
                </c:pt>
                <c:pt idx="1">
                  <c:v>70.916666666666671</c:v>
                </c:pt>
                <c:pt idx="2">
                  <c:v>73.3</c:v>
                </c:pt>
              </c:numCache>
            </c:numRef>
          </c:val>
          <c:extLst>
            <c:ext xmlns:c16="http://schemas.microsoft.com/office/drawing/2014/chart" uri="{C3380CC4-5D6E-409C-BE32-E72D297353CC}">
              <c16:uniqueId val="{00000000-140B-43D2-8693-43DCE88A46CB}"/>
            </c:ext>
          </c:extLst>
        </c:ser>
        <c:dLbls>
          <c:dLblPos val="outEnd"/>
          <c:showLegendKey val="0"/>
          <c:showVal val="1"/>
          <c:showCatName val="0"/>
          <c:showSerName val="0"/>
          <c:showPercent val="0"/>
          <c:showBubbleSize val="0"/>
        </c:dLbls>
        <c:gapWidth val="219"/>
        <c:overlap val="-27"/>
        <c:axId val="496066240"/>
        <c:axId val="496067320"/>
      </c:barChart>
      <c:catAx>
        <c:axId val="49606624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1100">
                    <a:latin typeface="Arial Rounded MT Bold" panose="020F0704030504030204" pitchFamily="34" charset="0"/>
                  </a:rPr>
                  <a:t>Employment</a:t>
                </a:r>
                <a:r>
                  <a:rPr lang="en-US" sz="1100" baseline="0">
                    <a:latin typeface="Arial Rounded MT Bold" panose="020F0704030504030204" pitchFamily="34" charset="0"/>
                  </a:rPr>
                  <a:t> Status</a:t>
                </a:r>
                <a:endParaRPr lang="en-US" sz="1100">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67320"/>
        <c:crosses val="autoZero"/>
        <c:auto val="1"/>
        <c:lblAlgn val="ctr"/>
        <c:lblOffset val="100"/>
        <c:noMultiLvlLbl val="0"/>
      </c:catAx>
      <c:valAx>
        <c:axId val="496067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800">
                    <a:latin typeface="Arial Rounded MT Bold" panose="020F0704030504030204" pitchFamily="34" charset="0"/>
                  </a:rPr>
                  <a:t>Average</a:t>
                </a:r>
                <a:r>
                  <a:rPr lang="en-US" sz="800" baseline="0">
                    <a:latin typeface="Arial Rounded MT Bold" panose="020F0704030504030204" pitchFamily="34" charset="0"/>
                  </a:rPr>
                  <a:t> of perfromance Score</a:t>
                </a:r>
                <a:endParaRPr lang="en-US" sz="800">
                  <a:latin typeface="Arial Rounded MT Bold" panose="020F0704030504030204" pitchFamily="34" charset="0"/>
                </a:endParaRPr>
              </a:p>
            </c:rich>
          </c:tx>
          <c:layout>
            <c:manualLayout>
              <c:xMode val="edge"/>
              <c:yMode val="edge"/>
              <c:x val="3.4013605442176874E-2"/>
              <c:y val="0.11683544303797469"/>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6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Arial Rounded MT Bold" panose="020F0704030504030204" pitchFamily="34" charset="0"/>
              </a:rPr>
              <a:t>BONUS</a:t>
            </a:r>
            <a:r>
              <a:rPr lang="en-US" sz="1100" baseline="0">
                <a:solidFill>
                  <a:schemeClr val="bg1"/>
                </a:solidFill>
                <a:latin typeface="Arial Rounded MT Bold" panose="020F0704030504030204" pitchFamily="34" charset="0"/>
              </a:rPr>
              <a:t> LAYOUT ANALYSIS</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96-455D-87DF-C1BF3F1D902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296-455D-87DF-C1BF3F1D902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296-455D-87DF-C1BF3F1D902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296-455D-87DF-C1BF3F1D9027}"/>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296-455D-87DF-C1BF3F1D9027}"/>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3296-455D-87DF-C1BF3F1D90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Analysis!$I$4:$I$10</c:f>
              <c:strCache>
                <c:ptCount val="6"/>
                <c:pt idx="0">
                  <c:v>Achieving</c:v>
                </c:pt>
                <c:pt idx="1">
                  <c:v>Developing</c:v>
                </c:pt>
                <c:pt idx="2">
                  <c:v>Exceeding</c:v>
                </c:pt>
                <c:pt idx="3">
                  <c:v>Needs Improvement</c:v>
                </c:pt>
                <c:pt idx="4">
                  <c:v>Outstanding</c:v>
                </c:pt>
                <c:pt idx="5">
                  <c:v>(blank)</c:v>
                </c:pt>
              </c:strCache>
            </c:strRef>
          </c:cat>
          <c:val>
            <c:numRef>
              <c:f>Analysis!$J$4:$J$10</c:f>
              <c:numCache>
                <c:formatCode>0.00;[Red]0.00</c:formatCode>
                <c:ptCount val="6"/>
                <c:pt idx="0">
                  <c:v>164994.30750000002</c:v>
                </c:pt>
                <c:pt idx="1">
                  <c:v>84450.788800000009</c:v>
                </c:pt>
                <c:pt idx="2">
                  <c:v>144546.94880000001</c:v>
                </c:pt>
                <c:pt idx="3">
                  <c:v>0</c:v>
                </c:pt>
                <c:pt idx="4">
                  <c:v>92304.651600000012</c:v>
                </c:pt>
              </c:numCache>
            </c:numRef>
          </c:val>
          <c:extLst>
            <c:ext xmlns:c16="http://schemas.microsoft.com/office/drawing/2014/chart" uri="{C3380CC4-5D6E-409C-BE32-E72D297353CC}">
              <c16:uniqueId val="{0000000C-3296-455D-87DF-C1BF3F1D90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ATTRITION</a:t>
            </a:r>
            <a:r>
              <a:rPr lang="en-US" baseline="0">
                <a:solidFill>
                  <a:schemeClr val="bg1"/>
                </a:solidFill>
                <a:latin typeface="Arial Rounded MT Bold" panose="020F0704030504030204" pitchFamily="34" charset="0"/>
              </a:rPr>
              <a:t> RATE</a:t>
            </a:r>
            <a:endParaRPr lang="en-US">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Analysis!$B$15:$B$16</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Analysis!$B$17:$B$24</c:f>
              <c:numCache>
                <c:formatCode>General</c:formatCode>
                <c:ptCount val="7"/>
                <c:pt idx="0">
                  <c:v>14</c:v>
                </c:pt>
                <c:pt idx="1">
                  <c:v>14</c:v>
                </c:pt>
                <c:pt idx="2">
                  <c:v>32</c:v>
                </c:pt>
                <c:pt idx="3">
                  <c:v>15</c:v>
                </c:pt>
                <c:pt idx="4">
                  <c:v>20</c:v>
                </c:pt>
                <c:pt idx="5">
                  <c:v>21</c:v>
                </c:pt>
              </c:numCache>
            </c:numRef>
          </c:val>
          <c:extLst>
            <c:ext xmlns:c16="http://schemas.microsoft.com/office/drawing/2014/chart" uri="{C3380CC4-5D6E-409C-BE32-E72D297353CC}">
              <c16:uniqueId val="{00000000-562F-4750-9283-9B1E4A437E03}"/>
            </c:ext>
          </c:extLst>
        </c:ser>
        <c:ser>
          <c:idx val="1"/>
          <c:order val="1"/>
          <c:tx>
            <c:strRef>
              <c:f>Analysis!$C$15:$C$16</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Analysis!$C$17:$C$24</c:f>
              <c:numCache>
                <c:formatCode>General</c:formatCode>
                <c:ptCount val="7"/>
                <c:pt idx="0">
                  <c:v>3</c:v>
                </c:pt>
                <c:pt idx="1">
                  <c:v>1</c:v>
                </c:pt>
                <c:pt idx="2">
                  <c:v>4</c:v>
                </c:pt>
                <c:pt idx="3">
                  <c:v>2</c:v>
                </c:pt>
                <c:pt idx="4">
                  <c:v>7</c:v>
                </c:pt>
                <c:pt idx="5">
                  <c:v>7</c:v>
                </c:pt>
              </c:numCache>
            </c:numRef>
          </c:val>
          <c:extLst>
            <c:ext xmlns:c16="http://schemas.microsoft.com/office/drawing/2014/chart" uri="{C3380CC4-5D6E-409C-BE32-E72D297353CC}">
              <c16:uniqueId val="{00000001-562F-4750-9283-9B1E4A437E03}"/>
            </c:ext>
          </c:extLst>
        </c:ser>
        <c:ser>
          <c:idx val="2"/>
          <c:order val="2"/>
          <c:tx>
            <c:strRef>
              <c:f>Analysis!$D$15:$D$16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Analysis!$D$17:$D$24</c:f>
              <c:numCache>
                <c:formatCode>General</c:formatCode>
                <c:ptCount val="7"/>
                <c:pt idx="1">
                  <c:v>3</c:v>
                </c:pt>
                <c:pt idx="3">
                  <c:v>2</c:v>
                </c:pt>
                <c:pt idx="4">
                  <c:v>2</c:v>
                </c:pt>
                <c:pt idx="5">
                  <c:v>3</c:v>
                </c:pt>
              </c:numCache>
            </c:numRef>
          </c:val>
          <c:extLst>
            <c:ext xmlns:c16="http://schemas.microsoft.com/office/drawing/2014/chart" uri="{C3380CC4-5D6E-409C-BE32-E72D297353CC}">
              <c16:uniqueId val="{00000002-562F-4750-9283-9B1E4A437E03}"/>
            </c:ext>
          </c:extLst>
        </c:ser>
        <c:ser>
          <c:idx val="3"/>
          <c:order val="3"/>
          <c:tx>
            <c:strRef>
              <c:f>Analysis!$E$15:$E$16</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Analysis!$E$17:$E$24</c:f>
              <c:numCache>
                <c:formatCode>General</c:formatCode>
                <c:ptCount val="7"/>
              </c:numCache>
            </c:numRef>
          </c:val>
          <c:extLst>
            <c:ext xmlns:c16="http://schemas.microsoft.com/office/drawing/2014/chart" uri="{C3380CC4-5D6E-409C-BE32-E72D297353CC}">
              <c16:uniqueId val="{00000003-562F-4750-9283-9B1E4A437E03}"/>
            </c:ext>
          </c:extLst>
        </c:ser>
        <c:dLbls>
          <c:dLblPos val="outEnd"/>
          <c:showLegendKey val="0"/>
          <c:showVal val="1"/>
          <c:showCatName val="0"/>
          <c:showSerName val="0"/>
          <c:showPercent val="0"/>
          <c:showBubbleSize val="0"/>
        </c:dLbls>
        <c:gapWidth val="219"/>
        <c:axId val="496081720"/>
        <c:axId val="496081000"/>
      </c:barChart>
      <c:catAx>
        <c:axId val="496081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000"/>
        <c:crosses val="autoZero"/>
        <c:auto val="1"/>
        <c:lblAlgn val="ctr"/>
        <c:lblOffset val="100"/>
        <c:noMultiLvlLbl val="0"/>
      </c:catAx>
      <c:valAx>
        <c:axId val="496081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Employment</a:t>
                </a:r>
                <a:r>
                  <a:rPr lang="en-US" baseline="0">
                    <a:latin typeface="Arial Rounded MT Bold" panose="020F0704030504030204" pitchFamily="34" charset="0"/>
                  </a:rPr>
                  <a:t> Data</a:t>
                </a:r>
                <a:endParaRPr lang="en-US">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[HR_Capstone_Completed_Ayodele_Fisayo_Temitope.xlsx]Analysis!PivotTable2</c:name>
    <c:fmtId val="22"/>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AVERAGE</a:t>
            </a:r>
            <a:r>
              <a:rPr lang="en-US" sz="1100" baseline="0">
                <a:solidFill>
                  <a:schemeClr val="bg1"/>
                </a:solidFill>
                <a:latin typeface="Arial Black" panose="020B0A04020102020204" pitchFamily="34" charset="0"/>
              </a:rPr>
              <a:t> SALARY BY DEPARTMENT</a:t>
            </a:r>
            <a:endParaRPr lang="en-US" sz="1100">
              <a:solidFill>
                <a:schemeClr val="bg1"/>
              </a:solidFill>
              <a:latin typeface="Arial Black" panose="020B0A0402010202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Analysis!$J$15</c:f>
              <c:strCache>
                <c:ptCount val="1"/>
                <c:pt idx="0">
                  <c:v>Total</c:v>
                </c:pt>
              </c:strCache>
            </c:strRef>
          </c:tx>
          <c:spPr>
            <a:solidFill>
              <a:schemeClr val="accent1"/>
            </a:solidFill>
            <a:ln>
              <a:noFill/>
            </a:ln>
            <a:effectLst/>
          </c:spPr>
          <c:invertIfNegative val="0"/>
          <c:cat>
            <c:strRef>
              <c:f>Analysis!$I$16:$I$23</c:f>
              <c:strCache>
                <c:ptCount val="7"/>
                <c:pt idx="0">
                  <c:v>Finance</c:v>
                </c:pt>
                <c:pt idx="1">
                  <c:v>Human Resources</c:v>
                </c:pt>
                <c:pt idx="2">
                  <c:v>Information Technology</c:v>
                </c:pt>
                <c:pt idx="3">
                  <c:v>Marketing</c:v>
                </c:pt>
                <c:pt idx="4">
                  <c:v>Operations</c:v>
                </c:pt>
                <c:pt idx="5">
                  <c:v>Sales</c:v>
                </c:pt>
                <c:pt idx="6">
                  <c:v>(blank)</c:v>
                </c:pt>
              </c:strCache>
            </c:strRef>
          </c:cat>
          <c:val>
            <c:numRef>
              <c:f>Analysis!$J$16:$J$23</c:f>
              <c:numCache>
                <c:formatCode>"$"#,##0.00</c:formatCode>
                <c:ptCount val="7"/>
                <c:pt idx="0">
                  <c:v>1479279.2899999998</c:v>
                </c:pt>
                <c:pt idx="1">
                  <c:v>1538762.43</c:v>
                </c:pt>
                <c:pt idx="2">
                  <c:v>2894009.1500000004</c:v>
                </c:pt>
                <c:pt idx="3">
                  <c:v>1621860.43</c:v>
                </c:pt>
                <c:pt idx="4">
                  <c:v>2319666.86</c:v>
                </c:pt>
                <c:pt idx="5">
                  <c:v>2669201.4400000004</c:v>
                </c:pt>
              </c:numCache>
            </c:numRef>
          </c:val>
          <c:extLst>
            <c:ext xmlns:c16="http://schemas.microsoft.com/office/drawing/2014/chart" uri="{C3380CC4-5D6E-409C-BE32-E72D297353CC}">
              <c16:uniqueId val="{00000000-AB8F-4C41-9182-621D438F1D47}"/>
            </c:ext>
          </c:extLst>
        </c:ser>
        <c:dLbls>
          <c:showLegendKey val="0"/>
          <c:showVal val="0"/>
          <c:showCatName val="0"/>
          <c:showSerName val="0"/>
          <c:showPercent val="0"/>
          <c:showBubbleSize val="0"/>
        </c:dLbls>
        <c:gapWidth val="182"/>
        <c:axId val="1011433088"/>
        <c:axId val="1011438128"/>
      </c:barChart>
      <c:catAx>
        <c:axId val="101143308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1100">
                    <a:latin typeface="Arial Rounded MT Bold" panose="020F0704030504030204" pitchFamily="34" charset="0"/>
                  </a:rPr>
                  <a:t>Department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8128"/>
        <c:crosses val="autoZero"/>
        <c:auto val="1"/>
        <c:lblAlgn val="ctr"/>
        <c:lblOffset val="100"/>
        <c:noMultiLvlLbl val="0"/>
      </c:catAx>
      <c:valAx>
        <c:axId val="10114381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[HR_Capstone_Completed_Ayodele_Fisayo_Temitope.xlsx]Analysis!PivotTable4</c:name>
    <c:fmtId val="30"/>
  </c:pivotSource>
  <c:chart>
    <c:title>
      <c:tx>
        <c:rich>
          <a:bodyPr rot="0" spcFirstLastPara="1" vertOverflow="ellipsis" vert="horz" wrap="square" anchor="ctr" anchorCtr="1"/>
          <a:lstStyle/>
          <a:p>
            <a:pPr>
              <a:defRPr sz="800" b="1" i="0" u="none" strike="noStrike" kern="1200" cap="all" spc="120" normalizeH="0" baseline="0">
                <a:solidFill>
                  <a:schemeClr val="bg1"/>
                </a:solidFill>
                <a:latin typeface="Arial Black" panose="020B0A04020102020204" pitchFamily="34" charset="0"/>
                <a:ea typeface="+mn-ea"/>
                <a:cs typeface="+mn-cs"/>
              </a:defRPr>
            </a:pPr>
            <a:r>
              <a:rPr lang="en-US" sz="800">
                <a:solidFill>
                  <a:schemeClr val="bg1"/>
                </a:solidFill>
                <a:latin typeface="Arial Black" panose="020B0A04020102020204" pitchFamily="34" charset="0"/>
              </a:rPr>
              <a:t>HEADCOUNT &amp; AVERAGE SALARY BY DEARTMENT</a:t>
            </a:r>
          </a:p>
        </c:rich>
      </c:tx>
      <c:overlay val="0"/>
      <c:spPr>
        <a:solidFill>
          <a:schemeClr val="accent5">
            <a:lumMod val="50000"/>
          </a:schemeClr>
        </a:solidFill>
        <a:ln>
          <a:noFill/>
        </a:ln>
        <a:effectLst/>
      </c:spPr>
      <c:txPr>
        <a:bodyPr rot="0" spcFirstLastPara="1" vertOverflow="ellipsis" vert="horz" wrap="square" anchor="ctr" anchorCtr="1"/>
        <a:lstStyle/>
        <a:p>
          <a:pPr>
            <a:defRPr sz="800" b="1" i="0" u="none" strike="noStrike" kern="1200" cap="all" spc="120" normalizeH="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4448877051373"/>
          <c:y val="0.28669973630345386"/>
          <c:w val="0.66822363600414059"/>
          <c:h val="0.36697929730063117"/>
        </c:manualLayout>
      </c:layout>
      <c:barChart>
        <c:barDir val="col"/>
        <c:grouping val="clustered"/>
        <c:varyColors val="0"/>
        <c:ser>
          <c:idx val="0"/>
          <c:order val="0"/>
          <c:tx>
            <c:strRef>
              <c:f>Analysis!$B$28</c:f>
              <c:strCache>
                <c:ptCount val="1"/>
                <c:pt idx="0">
                  <c:v>Count of Emp ID</c:v>
                </c:pt>
              </c:strCache>
            </c:strRef>
          </c:tx>
          <c:spPr>
            <a:solidFill>
              <a:schemeClr val="accent5">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Analysis!$A$29:$A$36</c:f>
              <c:strCache>
                <c:ptCount val="7"/>
                <c:pt idx="0">
                  <c:v>Finance</c:v>
                </c:pt>
                <c:pt idx="1">
                  <c:v>Human Resources</c:v>
                </c:pt>
                <c:pt idx="2">
                  <c:v>Information Technology</c:v>
                </c:pt>
                <c:pt idx="3">
                  <c:v>Marketing</c:v>
                </c:pt>
                <c:pt idx="4">
                  <c:v>Operations</c:v>
                </c:pt>
                <c:pt idx="5">
                  <c:v>Sales</c:v>
                </c:pt>
                <c:pt idx="6">
                  <c:v>(blank)</c:v>
                </c:pt>
              </c:strCache>
            </c:strRef>
          </c:cat>
          <c:val>
            <c:numRef>
              <c:f>Analysis!$B$29:$B$36</c:f>
              <c:numCache>
                <c:formatCode>General</c:formatCode>
                <c:ptCount val="7"/>
                <c:pt idx="0">
                  <c:v>17</c:v>
                </c:pt>
                <c:pt idx="1">
                  <c:v>18</c:v>
                </c:pt>
                <c:pt idx="2">
                  <c:v>36</c:v>
                </c:pt>
                <c:pt idx="3">
                  <c:v>19</c:v>
                </c:pt>
                <c:pt idx="4">
                  <c:v>29</c:v>
                </c:pt>
                <c:pt idx="5">
                  <c:v>31</c:v>
                </c:pt>
              </c:numCache>
            </c:numRef>
          </c:val>
          <c:extLst>
            <c:ext xmlns:c16="http://schemas.microsoft.com/office/drawing/2014/chart" uri="{C3380CC4-5D6E-409C-BE32-E72D297353CC}">
              <c16:uniqueId val="{00000000-C509-40FE-813C-AA46D4C34435}"/>
            </c:ext>
          </c:extLst>
        </c:ser>
        <c:ser>
          <c:idx val="1"/>
          <c:order val="1"/>
          <c:tx>
            <c:strRef>
              <c:f>Analysis!$C$28</c:f>
              <c:strCache>
                <c:ptCount val="1"/>
                <c:pt idx="0">
                  <c:v>Sum of Salary</c:v>
                </c:pt>
              </c:strCache>
            </c:strRef>
          </c:tx>
          <c:spPr>
            <a:solidFill>
              <a:schemeClr val="accent5">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Analysis!$A$29:$A$36</c:f>
              <c:strCache>
                <c:ptCount val="7"/>
                <c:pt idx="0">
                  <c:v>Finance</c:v>
                </c:pt>
                <c:pt idx="1">
                  <c:v>Human Resources</c:v>
                </c:pt>
                <c:pt idx="2">
                  <c:v>Information Technology</c:v>
                </c:pt>
                <c:pt idx="3">
                  <c:v>Marketing</c:v>
                </c:pt>
                <c:pt idx="4">
                  <c:v>Operations</c:v>
                </c:pt>
                <c:pt idx="5">
                  <c:v>Sales</c:v>
                </c:pt>
                <c:pt idx="6">
                  <c:v>(blank)</c:v>
                </c:pt>
              </c:strCache>
            </c:strRef>
          </c:cat>
          <c:val>
            <c:numRef>
              <c:f>Analysis!$C$29:$C$36</c:f>
              <c:numCache>
                <c:formatCode>General</c:formatCode>
                <c:ptCount val="7"/>
                <c:pt idx="0">
                  <c:v>1479279.2899999998</c:v>
                </c:pt>
                <c:pt idx="1">
                  <c:v>1538762.43</c:v>
                </c:pt>
                <c:pt idx="2">
                  <c:v>2894009.1500000004</c:v>
                </c:pt>
                <c:pt idx="3">
                  <c:v>1621860.43</c:v>
                </c:pt>
                <c:pt idx="4">
                  <c:v>2319666.86</c:v>
                </c:pt>
                <c:pt idx="5">
                  <c:v>2669201.4400000004</c:v>
                </c:pt>
              </c:numCache>
            </c:numRef>
          </c:val>
          <c:extLst>
            <c:ext xmlns:c16="http://schemas.microsoft.com/office/drawing/2014/chart" uri="{C3380CC4-5D6E-409C-BE32-E72D297353CC}">
              <c16:uniqueId val="{00000001-C509-40FE-813C-AA46D4C34435}"/>
            </c:ext>
          </c:extLst>
        </c:ser>
        <c:dLbls>
          <c:dLblPos val="outEnd"/>
          <c:showLegendKey val="0"/>
          <c:showVal val="1"/>
          <c:showCatName val="0"/>
          <c:showSerName val="0"/>
          <c:showPercent val="0"/>
          <c:showBubbleSize val="0"/>
        </c:dLbls>
        <c:gapWidth val="444"/>
        <c:axId val="844411568"/>
        <c:axId val="844403648"/>
      </c:barChart>
      <c:catAx>
        <c:axId val="84441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4403648"/>
        <c:crosses val="autoZero"/>
        <c:auto val="1"/>
        <c:lblAlgn val="ctr"/>
        <c:lblOffset val="100"/>
        <c:noMultiLvlLbl val="0"/>
      </c:catAx>
      <c:valAx>
        <c:axId val="844403648"/>
        <c:scaling>
          <c:orientation val="minMax"/>
        </c:scaling>
        <c:delete val="1"/>
        <c:axPos val="l"/>
        <c:numFmt formatCode="General" sourceLinked="1"/>
        <c:majorTickMark val="none"/>
        <c:minorTickMark val="none"/>
        <c:tickLblPos val="nextTo"/>
        <c:crossAx val="8444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100">
                <a:solidFill>
                  <a:schemeClr val="bg1"/>
                </a:solidFill>
                <a:latin typeface="Arial Rounded MT Bold" panose="020F0704030504030204" pitchFamily="34" charset="0"/>
              </a:rPr>
              <a:t>HEAD</a:t>
            </a:r>
            <a:r>
              <a:rPr lang="en-US" sz="1100" baseline="0">
                <a:solidFill>
                  <a:schemeClr val="bg1"/>
                </a:solidFill>
                <a:latin typeface="Arial Rounded MT Bold" panose="020F0704030504030204" pitchFamily="34" charset="0"/>
              </a:rPr>
              <a:t>COUNT BY DEPARTMENT</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7278242962748"/>
          <c:y val="0.39964404051629304"/>
          <c:w val="0.87022727272727274"/>
          <c:h val="0.20926093890162464"/>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c:v>
                </c:pt>
                <c:pt idx="1">
                  <c:v>4</c:v>
                </c:pt>
                <c:pt idx="2">
                  <c:v>6</c:v>
                </c:pt>
                <c:pt idx="3">
                  <c:v>3</c:v>
                </c:pt>
                <c:pt idx="4">
                  <c:v>6</c:v>
                </c:pt>
                <c:pt idx="5">
                  <c:v>8</c:v>
                </c:pt>
              </c:numCache>
            </c:numRef>
          </c:val>
          <c:extLst>
            <c:ext xmlns:c16="http://schemas.microsoft.com/office/drawing/2014/chart" uri="{C3380CC4-5D6E-409C-BE32-E72D297353CC}">
              <c16:uniqueId val="{00000000-62B9-48A0-8106-792D3C50185D}"/>
            </c:ext>
          </c:extLst>
        </c:ser>
        <c:dLbls>
          <c:showLegendKey val="0"/>
          <c:showVal val="1"/>
          <c:showCatName val="0"/>
          <c:showSerName val="0"/>
          <c:showPercent val="0"/>
          <c:showBubbleSize val="0"/>
        </c:dLbls>
        <c:gapWidth val="150"/>
        <c:overlap val="-25"/>
        <c:axId val="496080280"/>
        <c:axId val="496077760"/>
      </c:barChart>
      <c:catAx>
        <c:axId val="496080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layout>
            <c:manualLayout>
              <c:xMode val="edge"/>
              <c:yMode val="edge"/>
              <c:x val="0.33642030541636841"/>
              <c:y val="0.834145320442539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7760"/>
        <c:crosses val="autoZero"/>
        <c:auto val="1"/>
        <c:lblAlgn val="ctr"/>
        <c:lblOffset val="100"/>
        <c:noMultiLvlLbl val="0"/>
      </c:catAx>
      <c:valAx>
        <c:axId val="496077760"/>
        <c:scaling>
          <c:orientation val="minMax"/>
        </c:scaling>
        <c:delete val="1"/>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800">
                    <a:latin typeface="Arial Rounded MT Bold" panose="020F0704030504030204" pitchFamily="34" charset="0"/>
                  </a:rPr>
                  <a:t>Employee</a:t>
                </a:r>
                <a:r>
                  <a:rPr lang="en-US" sz="800" baseline="0">
                    <a:latin typeface="Arial Rounded MT Bold" panose="020F0704030504030204" pitchFamily="34" charset="0"/>
                  </a:rPr>
                  <a:t> I.D Count</a:t>
                </a:r>
                <a:endParaRPr lang="en-US" sz="800">
                  <a:latin typeface="Arial Rounded MT Bold" panose="020F0704030504030204" pitchFamily="34" charset="0"/>
                </a:endParaRPr>
              </a:p>
            </c:rich>
          </c:tx>
          <c:layout>
            <c:manualLayout>
              <c:xMode val="edge"/>
              <c:yMode val="edge"/>
              <c:x val="4.1666666666666664E-2"/>
              <c:y val="0.181045051330609"/>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crossAx val="496080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70">
      <a:fgClr>
        <a:schemeClr val="accent5">
          <a:lumMod val="20000"/>
          <a:lumOff val="80000"/>
        </a:schemeClr>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ATTRITION</a:t>
            </a:r>
            <a:r>
              <a:rPr lang="en-US" baseline="0">
                <a:solidFill>
                  <a:schemeClr val="bg1"/>
                </a:solidFill>
                <a:latin typeface="Arial Rounded MT Bold" panose="020F0704030504030204" pitchFamily="34" charset="0"/>
              </a:rPr>
              <a:t> RATE</a:t>
            </a:r>
            <a:endParaRPr lang="en-US">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Analysis!$B$15:$B$16</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Analysis!$B$17:$B$24</c:f>
              <c:numCache>
                <c:formatCode>General</c:formatCode>
                <c:ptCount val="7"/>
                <c:pt idx="0">
                  <c:v>14</c:v>
                </c:pt>
                <c:pt idx="1">
                  <c:v>14</c:v>
                </c:pt>
                <c:pt idx="2">
                  <c:v>32</c:v>
                </c:pt>
                <c:pt idx="3">
                  <c:v>15</c:v>
                </c:pt>
                <c:pt idx="4">
                  <c:v>20</c:v>
                </c:pt>
                <c:pt idx="5">
                  <c:v>21</c:v>
                </c:pt>
              </c:numCache>
            </c:numRef>
          </c:val>
          <c:extLst>
            <c:ext xmlns:c16="http://schemas.microsoft.com/office/drawing/2014/chart" uri="{C3380CC4-5D6E-409C-BE32-E72D297353CC}">
              <c16:uniqueId val="{00000000-A5BD-4606-BFC5-0ACA62665B97}"/>
            </c:ext>
          </c:extLst>
        </c:ser>
        <c:ser>
          <c:idx val="1"/>
          <c:order val="1"/>
          <c:tx>
            <c:strRef>
              <c:f>Analysis!$C$15:$C$16</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Analysis!$C$17:$C$24</c:f>
              <c:numCache>
                <c:formatCode>General</c:formatCode>
                <c:ptCount val="7"/>
                <c:pt idx="0">
                  <c:v>3</c:v>
                </c:pt>
                <c:pt idx="1">
                  <c:v>1</c:v>
                </c:pt>
                <c:pt idx="2">
                  <c:v>4</c:v>
                </c:pt>
                <c:pt idx="3">
                  <c:v>2</c:v>
                </c:pt>
                <c:pt idx="4">
                  <c:v>7</c:v>
                </c:pt>
                <c:pt idx="5">
                  <c:v>7</c:v>
                </c:pt>
              </c:numCache>
            </c:numRef>
          </c:val>
          <c:extLst>
            <c:ext xmlns:c16="http://schemas.microsoft.com/office/drawing/2014/chart" uri="{C3380CC4-5D6E-409C-BE32-E72D297353CC}">
              <c16:uniqueId val="{00000001-A5BD-4606-BFC5-0ACA62665B97}"/>
            </c:ext>
          </c:extLst>
        </c:ser>
        <c:ser>
          <c:idx val="2"/>
          <c:order val="2"/>
          <c:tx>
            <c:strRef>
              <c:f>Analysis!$D$15:$D$16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Analysis!$D$17:$D$24</c:f>
              <c:numCache>
                <c:formatCode>General</c:formatCode>
                <c:ptCount val="7"/>
                <c:pt idx="1">
                  <c:v>3</c:v>
                </c:pt>
                <c:pt idx="3">
                  <c:v>2</c:v>
                </c:pt>
                <c:pt idx="4">
                  <c:v>2</c:v>
                </c:pt>
                <c:pt idx="5">
                  <c:v>3</c:v>
                </c:pt>
              </c:numCache>
            </c:numRef>
          </c:val>
          <c:extLst>
            <c:ext xmlns:c16="http://schemas.microsoft.com/office/drawing/2014/chart" uri="{C3380CC4-5D6E-409C-BE32-E72D297353CC}">
              <c16:uniqueId val="{00000002-A5BD-4606-BFC5-0ACA62665B97}"/>
            </c:ext>
          </c:extLst>
        </c:ser>
        <c:ser>
          <c:idx val="3"/>
          <c:order val="3"/>
          <c:tx>
            <c:strRef>
              <c:f>Analysis!$E$15:$E$16</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Analysis!$E$17:$E$24</c:f>
              <c:numCache>
                <c:formatCode>General</c:formatCode>
                <c:ptCount val="7"/>
              </c:numCache>
            </c:numRef>
          </c:val>
          <c:extLst>
            <c:ext xmlns:c16="http://schemas.microsoft.com/office/drawing/2014/chart" uri="{C3380CC4-5D6E-409C-BE32-E72D297353CC}">
              <c16:uniqueId val="{00000003-A5BD-4606-BFC5-0ACA62665B97}"/>
            </c:ext>
          </c:extLst>
        </c:ser>
        <c:dLbls>
          <c:dLblPos val="outEnd"/>
          <c:showLegendKey val="0"/>
          <c:showVal val="1"/>
          <c:showCatName val="0"/>
          <c:showSerName val="0"/>
          <c:showPercent val="0"/>
          <c:showBubbleSize val="0"/>
        </c:dLbls>
        <c:gapWidth val="219"/>
        <c:axId val="496081720"/>
        <c:axId val="496081000"/>
      </c:barChart>
      <c:catAx>
        <c:axId val="496081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000"/>
        <c:crosses val="autoZero"/>
        <c:auto val="1"/>
        <c:lblAlgn val="ctr"/>
        <c:lblOffset val="100"/>
        <c:noMultiLvlLbl val="0"/>
      </c:catAx>
      <c:valAx>
        <c:axId val="496081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Employment</a:t>
                </a:r>
                <a:r>
                  <a:rPr lang="en-US" baseline="0">
                    <a:latin typeface="Arial Rounded MT Bold" panose="020F0704030504030204" pitchFamily="34" charset="0"/>
                  </a:rPr>
                  <a:t> Data</a:t>
                </a:r>
                <a:endParaRPr lang="en-US">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ltUpDiag">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[HR_Capstone_Completed_Ayodele_Fisayo_Temitope.xlsx]Analysis!PivotTable2</c:name>
    <c:fmtId val="43"/>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AVERAGE</a:t>
            </a:r>
            <a:r>
              <a:rPr lang="en-US" sz="1100" baseline="0">
                <a:solidFill>
                  <a:schemeClr val="bg1"/>
                </a:solidFill>
                <a:latin typeface="Arial Black" panose="020B0A04020102020204" pitchFamily="34" charset="0"/>
              </a:rPr>
              <a:t> SALARY BY DEPARTMENT</a:t>
            </a:r>
            <a:endParaRPr lang="en-US" sz="1100">
              <a:solidFill>
                <a:schemeClr val="bg1"/>
              </a:solidFill>
              <a:latin typeface="Arial Black" panose="020B0A0402010202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Analysis!$J$15</c:f>
              <c:strCache>
                <c:ptCount val="1"/>
                <c:pt idx="0">
                  <c:v>Total</c:v>
                </c:pt>
              </c:strCache>
            </c:strRef>
          </c:tx>
          <c:spPr>
            <a:solidFill>
              <a:schemeClr val="accent1"/>
            </a:solidFill>
            <a:ln>
              <a:noFill/>
            </a:ln>
            <a:effectLst/>
          </c:spPr>
          <c:invertIfNegative val="0"/>
          <c:cat>
            <c:strRef>
              <c:f>Analysis!$I$16:$I$23</c:f>
              <c:strCache>
                <c:ptCount val="7"/>
                <c:pt idx="0">
                  <c:v>Finance</c:v>
                </c:pt>
                <c:pt idx="1">
                  <c:v>Human Resources</c:v>
                </c:pt>
                <c:pt idx="2">
                  <c:v>Information Technology</c:v>
                </c:pt>
                <c:pt idx="3">
                  <c:v>Marketing</c:v>
                </c:pt>
                <c:pt idx="4">
                  <c:v>Operations</c:v>
                </c:pt>
                <c:pt idx="5">
                  <c:v>Sales</c:v>
                </c:pt>
                <c:pt idx="6">
                  <c:v>(blank)</c:v>
                </c:pt>
              </c:strCache>
            </c:strRef>
          </c:cat>
          <c:val>
            <c:numRef>
              <c:f>Analysis!$J$16:$J$23</c:f>
              <c:numCache>
                <c:formatCode>"$"#,##0.00</c:formatCode>
                <c:ptCount val="7"/>
                <c:pt idx="0">
                  <c:v>1479279.2899999998</c:v>
                </c:pt>
                <c:pt idx="1">
                  <c:v>1538762.43</c:v>
                </c:pt>
                <c:pt idx="2">
                  <c:v>2894009.1500000004</c:v>
                </c:pt>
                <c:pt idx="3">
                  <c:v>1621860.43</c:v>
                </c:pt>
                <c:pt idx="4">
                  <c:v>2319666.86</c:v>
                </c:pt>
                <c:pt idx="5">
                  <c:v>2669201.4400000004</c:v>
                </c:pt>
              </c:numCache>
            </c:numRef>
          </c:val>
          <c:extLst>
            <c:ext xmlns:c16="http://schemas.microsoft.com/office/drawing/2014/chart" uri="{C3380CC4-5D6E-409C-BE32-E72D297353CC}">
              <c16:uniqueId val="{00000000-C41F-4D36-B7E2-C4C655A52322}"/>
            </c:ext>
          </c:extLst>
        </c:ser>
        <c:dLbls>
          <c:showLegendKey val="0"/>
          <c:showVal val="0"/>
          <c:showCatName val="0"/>
          <c:showSerName val="0"/>
          <c:showPercent val="0"/>
          <c:showBubbleSize val="0"/>
        </c:dLbls>
        <c:gapWidth val="182"/>
        <c:axId val="1011433088"/>
        <c:axId val="1011438128"/>
      </c:barChart>
      <c:catAx>
        <c:axId val="101143308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1100">
                    <a:latin typeface="Arial Rounded MT Bold" panose="020F0704030504030204" pitchFamily="34" charset="0"/>
                  </a:rPr>
                  <a:t>Department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8128"/>
        <c:crosses val="autoZero"/>
        <c:auto val="1"/>
        <c:lblAlgn val="ctr"/>
        <c:lblOffset val="100"/>
        <c:noMultiLvlLbl val="0"/>
      </c:catAx>
      <c:valAx>
        <c:axId val="10114381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25">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Arial Rounded MT Bold" panose="020F0704030504030204" pitchFamily="34" charset="0"/>
              </a:rPr>
              <a:t>BONUS</a:t>
            </a:r>
            <a:r>
              <a:rPr lang="en-US" sz="1100" baseline="0">
                <a:solidFill>
                  <a:schemeClr val="bg1"/>
                </a:solidFill>
                <a:latin typeface="Arial Rounded MT Bold" panose="020F0704030504030204" pitchFamily="34" charset="0"/>
              </a:rPr>
              <a:t> LAYOUT ANALYSIS</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6-41E3-B70B-7A79A2FED07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F56-41E3-B70B-7A79A2FED07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F56-41E3-B70B-7A79A2FED07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F56-41E3-B70B-7A79A2FED076}"/>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CF56-41E3-B70B-7A79A2FED076}"/>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CF56-41E3-B70B-7A79A2FED0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Analysis!$I$4:$I$10</c:f>
              <c:strCache>
                <c:ptCount val="6"/>
                <c:pt idx="0">
                  <c:v>Achieving</c:v>
                </c:pt>
                <c:pt idx="1">
                  <c:v>Developing</c:v>
                </c:pt>
                <c:pt idx="2">
                  <c:v>Exceeding</c:v>
                </c:pt>
                <c:pt idx="3">
                  <c:v>Needs Improvement</c:v>
                </c:pt>
                <c:pt idx="4">
                  <c:v>Outstanding</c:v>
                </c:pt>
                <c:pt idx="5">
                  <c:v>(blank)</c:v>
                </c:pt>
              </c:strCache>
            </c:strRef>
          </c:cat>
          <c:val>
            <c:numRef>
              <c:f>Analysis!$J$4:$J$10</c:f>
              <c:numCache>
                <c:formatCode>0.00;[Red]0.00</c:formatCode>
                <c:ptCount val="6"/>
                <c:pt idx="0">
                  <c:v>164994.30750000002</c:v>
                </c:pt>
                <c:pt idx="1">
                  <c:v>84450.788800000009</c:v>
                </c:pt>
                <c:pt idx="2">
                  <c:v>144546.94880000001</c:v>
                </c:pt>
                <c:pt idx="3">
                  <c:v>0</c:v>
                </c:pt>
                <c:pt idx="4">
                  <c:v>92304.651600000012</c:v>
                </c:pt>
              </c:numCache>
            </c:numRef>
          </c:val>
          <c:extLst>
            <c:ext xmlns:c16="http://schemas.microsoft.com/office/drawing/2014/chart" uri="{C3380CC4-5D6E-409C-BE32-E72D297353CC}">
              <c16:uniqueId val="{0000000C-CF56-41E3-B70B-7A79A2FED0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30">
      <a:fgClr>
        <a:srgbClr val="B7DEE8"/>
      </a:fgClr>
      <a:bgClr>
        <a:schemeClr val="bg1"/>
      </a:bgClr>
    </a:patt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100">
                <a:solidFill>
                  <a:schemeClr val="bg1"/>
                </a:solidFill>
                <a:latin typeface="Arial Rounded MT Bold" panose="020F0704030504030204" pitchFamily="34" charset="0"/>
              </a:rPr>
              <a:t>HEAD</a:t>
            </a:r>
            <a:r>
              <a:rPr lang="en-US" sz="1100" baseline="0">
                <a:solidFill>
                  <a:schemeClr val="bg1"/>
                </a:solidFill>
                <a:latin typeface="Arial Rounded MT Bold" panose="020F0704030504030204" pitchFamily="34" charset="0"/>
              </a:rPr>
              <a:t>COUNT BY DEPARTMENT</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7278242962748"/>
          <c:y val="0.39964404051629304"/>
          <c:w val="0.87022727272727274"/>
          <c:h val="0.20926093890162464"/>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c:v>
                </c:pt>
                <c:pt idx="1">
                  <c:v>4</c:v>
                </c:pt>
                <c:pt idx="2">
                  <c:v>6</c:v>
                </c:pt>
                <c:pt idx="3">
                  <c:v>3</c:v>
                </c:pt>
                <c:pt idx="4">
                  <c:v>6</c:v>
                </c:pt>
                <c:pt idx="5">
                  <c:v>8</c:v>
                </c:pt>
              </c:numCache>
            </c:numRef>
          </c:val>
          <c:extLst>
            <c:ext xmlns:c16="http://schemas.microsoft.com/office/drawing/2014/chart" uri="{C3380CC4-5D6E-409C-BE32-E72D297353CC}">
              <c16:uniqueId val="{00000000-A244-4F3E-8783-0ADEDFB74DAD}"/>
            </c:ext>
          </c:extLst>
        </c:ser>
        <c:dLbls>
          <c:showLegendKey val="0"/>
          <c:showVal val="1"/>
          <c:showCatName val="0"/>
          <c:showSerName val="0"/>
          <c:showPercent val="0"/>
          <c:showBubbleSize val="0"/>
        </c:dLbls>
        <c:gapWidth val="150"/>
        <c:overlap val="-25"/>
        <c:axId val="496080280"/>
        <c:axId val="496077760"/>
      </c:barChart>
      <c:catAx>
        <c:axId val="496080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layout>
            <c:manualLayout>
              <c:xMode val="edge"/>
              <c:yMode val="edge"/>
              <c:x val="0.33642030541636841"/>
              <c:y val="0.834145320442539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7760"/>
        <c:crosses val="autoZero"/>
        <c:auto val="1"/>
        <c:lblAlgn val="ctr"/>
        <c:lblOffset val="100"/>
        <c:noMultiLvlLbl val="0"/>
      </c:catAx>
      <c:valAx>
        <c:axId val="496077760"/>
        <c:scaling>
          <c:orientation val="minMax"/>
        </c:scaling>
        <c:delete val="1"/>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800">
                    <a:latin typeface="Arial Rounded MT Bold" panose="020F0704030504030204" pitchFamily="34" charset="0"/>
                  </a:rPr>
                  <a:t>Employee</a:t>
                </a:r>
                <a:r>
                  <a:rPr lang="en-US" sz="800" baseline="0">
                    <a:latin typeface="Arial Rounded MT Bold" panose="020F0704030504030204" pitchFamily="34" charset="0"/>
                  </a:rPr>
                  <a:t> I.D Count</a:t>
                </a:r>
                <a:endParaRPr lang="en-US" sz="800">
                  <a:latin typeface="Arial Rounded MT Bold" panose="020F0704030504030204" pitchFamily="34" charset="0"/>
                </a:endParaRPr>
              </a:p>
            </c:rich>
          </c:tx>
          <c:layout>
            <c:manualLayout>
              <c:xMode val="edge"/>
              <c:yMode val="edge"/>
              <c:x val="4.1666666666666664E-2"/>
              <c:y val="0.181045051330609"/>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crossAx val="496080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70">
      <a:fgClr>
        <a:schemeClr val="accent5">
          <a:lumMod val="20000"/>
          <a:lumOff val="80000"/>
        </a:schemeClr>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ATTRITION</a:t>
            </a:r>
            <a:r>
              <a:rPr lang="en-US" baseline="0">
                <a:solidFill>
                  <a:schemeClr val="bg1"/>
                </a:solidFill>
                <a:latin typeface="Arial Rounded MT Bold" panose="020F0704030504030204" pitchFamily="34" charset="0"/>
              </a:rPr>
              <a:t> RATE</a:t>
            </a:r>
            <a:endParaRPr lang="en-US">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Analysis!$B$15:$B$16</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Analysis!$B$17:$B$24</c:f>
              <c:numCache>
                <c:formatCode>General</c:formatCode>
                <c:ptCount val="7"/>
                <c:pt idx="0">
                  <c:v>14</c:v>
                </c:pt>
                <c:pt idx="1">
                  <c:v>14</c:v>
                </c:pt>
                <c:pt idx="2">
                  <c:v>32</c:v>
                </c:pt>
                <c:pt idx="3">
                  <c:v>15</c:v>
                </c:pt>
                <c:pt idx="4">
                  <c:v>20</c:v>
                </c:pt>
                <c:pt idx="5">
                  <c:v>21</c:v>
                </c:pt>
              </c:numCache>
            </c:numRef>
          </c:val>
          <c:extLst>
            <c:ext xmlns:c16="http://schemas.microsoft.com/office/drawing/2014/chart" uri="{C3380CC4-5D6E-409C-BE32-E72D297353CC}">
              <c16:uniqueId val="{00000000-D831-4496-8356-B0E9ADE801D5}"/>
            </c:ext>
          </c:extLst>
        </c:ser>
        <c:ser>
          <c:idx val="1"/>
          <c:order val="1"/>
          <c:tx>
            <c:strRef>
              <c:f>Analysis!$C$15:$C$16</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Analysis!$C$17:$C$24</c:f>
              <c:numCache>
                <c:formatCode>General</c:formatCode>
                <c:ptCount val="7"/>
                <c:pt idx="0">
                  <c:v>3</c:v>
                </c:pt>
                <c:pt idx="1">
                  <c:v>1</c:v>
                </c:pt>
                <c:pt idx="2">
                  <c:v>4</c:v>
                </c:pt>
                <c:pt idx="3">
                  <c:v>2</c:v>
                </c:pt>
                <c:pt idx="4">
                  <c:v>7</c:v>
                </c:pt>
                <c:pt idx="5">
                  <c:v>7</c:v>
                </c:pt>
              </c:numCache>
            </c:numRef>
          </c:val>
          <c:extLst>
            <c:ext xmlns:c16="http://schemas.microsoft.com/office/drawing/2014/chart" uri="{C3380CC4-5D6E-409C-BE32-E72D297353CC}">
              <c16:uniqueId val="{00000001-D831-4496-8356-B0E9ADE801D5}"/>
            </c:ext>
          </c:extLst>
        </c:ser>
        <c:ser>
          <c:idx val="2"/>
          <c:order val="2"/>
          <c:tx>
            <c:strRef>
              <c:f>Analysis!$D$15:$D$16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Analysis!$D$17:$D$24</c:f>
              <c:numCache>
                <c:formatCode>General</c:formatCode>
                <c:ptCount val="7"/>
                <c:pt idx="1">
                  <c:v>3</c:v>
                </c:pt>
                <c:pt idx="3">
                  <c:v>2</c:v>
                </c:pt>
                <c:pt idx="4">
                  <c:v>2</c:v>
                </c:pt>
                <c:pt idx="5">
                  <c:v>3</c:v>
                </c:pt>
              </c:numCache>
            </c:numRef>
          </c:val>
          <c:extLst>
            <c:ext xmlns:c16="http://schemas.microsoft.com/office/drawing/2014/chart" uri="{C3380CC4-5D6E-409C-BE32-E72D297353CC}">
              <c16:uniqueId val="{00000002-D831-4496-8356-B0E9ADE801D5}"/>
            </c:ext>
          </c:extLst>
        </c:ser>
        <c:ser>
          <c:idx val="3"/>
          <c:order val="3"/>
          <c:tx>
            <c:strRef>
              <c:f>Analysis!$E$15:$E$16</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Analysis!$E$17:$E$24</c:f>
              <c:numCache>
                <c:formatCode>General</c:formatCode>
                <c:ptCount val="7"/>
              </c:numCache>
            </c:numRef>
          </c:val>
          <c:extLst>
            <c:ext xmlns:c16="http://schemas.microsoft.com/office/drawing/2014/chart" uri="{C3380CC4-5D6E-409C-BE32-E72D297353CC}">
              <c16:uniqueId val="{00000003-D831-4496-8356-B0E9ADE801D5}"/>
            </c:ext>
          </c:extLst>
        </c:ser>
        <c:dLbls>
          <c:dLblPos val="outEnd"/>
          <c:showLegendKey val="0"/>
          <c:showVal val="1"/>
          <c:showCatName val="0"/>
          <c:showSerName val="0"/>
          <c:showPercent val="0"/>
          <c:showBubbleSize val="0"/>
        </c:dLbls>
        <c:gapWidth val="219"/>
        <c:axId val="496081720"/>
        <c:axId val="496081000"/>
      </c:barChart>
      <c:catAx>
        <c:axId val="496081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000"/>
        <c:crosses val="autoZero"/>
        <c:auto val="1"/>
        <c:lblAlgn val="ctr"/>
        <c:lblOffset val="100"/>
        <c:noMultiLvlLbl val="0"/>
      </c:catAx>
      <c:valAx>
        <c:axId val="496081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Employment</a:t>
                </a:r>
                <a:r>
                  <a:rPr lang="en-US" baseline="0">
                    <a:latin typeface="Arial Rounded MT Bold" panose="020F0704030504030204" pitchFamily="34" charset="0"/>
                  </a:rPr>
                  <a:t> Data</a:t>
                </a:r>
                <a:endParaRPr lang="en-US">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ltUpDiag">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[HR_Capstone_Completed_Ayodele_Fisayo_Temitope.xlsx]Analysis!PivotTable2</c:name>
    <c:fmtId val="46"/>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AVERAGE</a:t>
            </a:r>
            <a:r>
              <a:rPr lang="en-US" sz="1100" baseline="0">
                <a:solidFill>
                  <a:schemeClr val="bg1"/>
                </a:solidFill>
                <a:latin typeface="Arial Black" panose="020B0A04020102020204" pitchFamily="34" charset="0"/>
              </a:rPr>
              <a:t> SALARY BY DEPARTMENT</a:t>
            </a:r>
            <a:endParaRPr lang="en-US" sz="1100">
              <a:solidFill>
                <a:schemeClr val="bg1"/>
              </a:solidFill>
              <a:latin typeface="Arial Black" panose="020B0A0402010202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Analysis!$J$15</c:f>
              <c:strCache>
                <c:ptCount val="1"/>
                <c:pt idx="0">
                  <c:v>Total</c:v>
                </c:pt>
              </c:strCache>
            </c:strRef>
          </c:tx>
          <c:spPr>
            <a:solidFill>
              <a:schemeClr val="accent1"/>
            </a:solidFill>
            <a:ln>
              <a:noFill/>
            </a:ln>
            <a:effectLst/>
          </c:spPr>
          <c:invertIfNegative val="0"/>
          <c:cat>
            <c:strRef>
              <c:f>Analysis!$I$16:$I$23</c:f>
              <c:strCache>
                <c:ptCount val="7"/>
                <c:pt idx="0">
                  <c:v>Finance</c:v>
                </c:pt>
                <c:pt idx="1">
                  <c:v>Human Resources</c:v>
                </c:pt>
                <c:pt idx="2">
                  <c:v>Information Technology</c:v>
                </c:pt>
                <c:pt idx="3">
                  <c:v>Marketing</c:v>
                </c:pt>
                <c:pt idx="4">
                  <c:v>Operations</c:v>
                </c:pt>
                <c:pt idx="5">
                  <c:v>Sales</c:v>
                </c:pt>
                <c:pt idx="6">
                  <c:v>(blank)</c:v>
                </c:pt>
              </c:strCache>
            </c:strRef>
          </c:cat>
          <c:val>
            <c:numRef>
              <c:f>Analysis!$J$16:$J$23</c:f>
              <c:numCache>
                <c:formatCode>"$"#,##0.00</c:formatCode>
                <c:ptCount val="7"/>
                <c:pt idx="0">
                  <c:v>1479279.2899999998</c:v>
                </c:pt>
                <c:pt idx="1">
                  <c:v>1538762.43</c:v>
                </c:pt>
                <c:pt idx="2">
                  <c:v>2894009.1500000004</c:v>
                </c:pt>
                <c:pt idx="3">
                  <c:v>1621860.43</c:v>
                </c:pt>
                <c:pt idx="4">
                  <c:v>2319666.86</c:v>
                </c:pt>
                <c:pt idx="5">
                  <c:v>2669201.4400000004</c:v>
                </c:pt>
              </c:numCache>
            </c:numRef>
          </c:val>
          <c:extLst>
            <c:ext xmlns:c16="http://schemas.microsoft.com/office/drawing/2014/chart" uri="{C3380CC4-5D6E-409C-BE32-E72D297353CC}">
              <c16:uniqueId val="{00000000-4543-4293-9396-A94A81F49E23}"/>
            </c:ext>
          </c:extLst>
        </c:ser>
        <c:dLbls>
          <c:showLegendKey val="0"/>
          <c:showVal val="0"/>
          <c:showCatName val="0"/>
          <c:showSerName val="0"/>
          <c:showPercent val="0"/>
          <c:showBubbleSize val="0"/>
        </c:dLbls>
        <c:gapWidth val="182"/>
        <c:axId val="1011433088"/>
        <c:axId val="1011438128"/>
      </c:barChart>
      <c:catAx>
        <c:axId val="101143308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1100">
                    <a:latin typeface="Arial Rounded MT Bold" panose="020F0704030504030204" pitchFamily="34" charset="0"/>
                  </a:rPr>
                  <a:t>Department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8128"/>
        <c:crosses val="autoZero"/>
        <c:auto val="1"/>
        <c:lblAlgn val="ctr"/>
        <c:lblOffset val="100"/>
        <c:noMultiLvlLbl val="0"/>
      </c:catAx>
      <c:valAx>
        <c:axId val="10114381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25">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Arial Rounded MT Bold" panose="020F0704030504030204" pitchFamily="34" charset="0"/>
              </a:rPr>
              <a:t>BONUS</a:t>
            </a:r>
            <a:r>
              <a:rPr lang="en-US" sz="1100" baseline="0">
                <a:solidFill>
                  <a:schemeClr val="bg1"/>
                </a:solidFill>
                <a:latin typeface="Arial Rounded MT Bold" panose="020F0704030504030204" pitchFamily="34" charset="0"/>
              </a:rPr>
              <a:t> LAYOUT ANALYSIS</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64-4348-9D18-6B4AC06A08B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664-4348-9D18-6B4AC06A08B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664-4348-9D18-6B4AC06A08B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664-4348-9D18-6B4AC06A08B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664-4348-9D18-6B4AC06A08B1}"/>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F664-4348-9D18-6B4AC06A08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Analysis!$I$4:$I$10</c:f>
              <c:strCache>
                <c:ptCount val="6"/>
                <c:pt idx="0">
                  <c:v>Achieving</c:v>
                </c:pt>
                <c:pt idx="1">
                  <c:v>Developing</c:v>
                </c:pt>
                <c:pt idx="2">
                  <c:v>Exceeding</c:v>
                </c:pt>
                <c:pt idx="3">
                  <c:v>Needs Improvement</c:v>
                </c:pt>
                <c:pt idx="4">
                  <c:v>Outstanding</c:v>
                </c:pt>
                <c:pt idx="5">
                  <c:v>(blank)</c:v>
                </c:pt>
              </c:strCache>
            </c:strRef>
          </c:cat>
          <c:val>
            <c:numRef>
              <c:f>Analysis!$J$4:$J$10</c:f>
              <c:numCache>
                <c:formatCode>0.00;[Red]0.00</c:formatCode>
                <c:ptCount val="6"/>
                <c:pt idx="0">
                  <c:v>164994.30750000002</c:v>
                </c:pt>
                <c:pt idx="1">
                  <c:v>84450.788800000009</c:v>
                </c:pt>
                <c:pt idx="2">
                  <c:v>144546.94880000001</c:v>
                </c:pt>
                <c:pt idx="3">
                  <c:v>0</c:v>
                </c:pt>
                <c:pt idx="4">
                  <c:v>92304.651600000012</c:v>
                </c:pt>
              </c:numCache>
            </c:numRef>
          </c:val>
          <c:extLst>
            <c:ext xmlns:c16="http://schemas.microsoft.com/office/drawing/2014/chart" uri="{C3380CC4-5D6E-409C-BE32-E72D297353CC}">
              <c16:uniqueId val="{0000000C-F664-4348-9D18-6B4AC06A08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30">
      <a:fgClr>
        <a:srgbClr val="B7DEE8"/>
      </a:fgClr>
      <a:bgClr>
        <a:schemeClr val="bg1"/>
      </a:bgClr>
    </a:patt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100">
                <a:solidFill>
                  <a:schemeClr val="bg1"/>
                </a:solidFill>
                <a:latin typeface="Arial Rounded MT Bold" panose="020F0704030504030204" pitchFamily="34" charset="0"/>
              </a:rPr>
              <a:t>HEAD</a:t>
            </a:r>
            <a:r>
              <a:rPr lang="en-US" sz="1100" baseline="0">
                <a:solidFill>
                  <a:schemeClr val="bg1"/>
                </a:solidFill>
                <a:latin typeface="Arial Rounded MT Bold" panose="020F0704030504030204" pitchFamily="34" charset="0"/>
              </a:rPr>
              <a:t>COUNT BY DEPARTMENT</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7278242962748"/>
          <c:y val="0.39964404051629304"/>
          <c:w val="0.87022727272727274"/>
          <c:h val="0.20926093890162464"/>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c:v>
                </c:pt>
                <c:pt idx="1">
                  <c:v>4</c:v>
                </c:pt>
                <c:pt idx="2">
                  <c:v>6</c:v>
                </c:pt>
                <c:pt idx="3">
                  <c:v>3</c:v>
                </c:pt>
                <c:pt idx="4">
                  <c:v>6</c:v>
                </c:pt>
                <c:pt idx="5">
                  <c:v>8</c:v>
                </c:pt>
              </c:numCache>
            </c:numRef>
          </c:val>
          <c:extLst>
            <c:ext xmlns:c16="http://schemas.microsoft.com/office/drawing/2014/chart" uri="{C3380CC4-5D6E-409C-BE32-E72D297353CC}">
              <c16:uniqueId val="{00000000-A628-4A49-A0D6-BBDAE2397CAE}"/>
            </c:ext>
          </c:extLst>
        </c:ser>
        <c:dLbls>
          <c:showLegendKey val="0"/>
          <c:showVal val="1"/>
          <c:showCatName val="0"/>
          <c:showSerName val="0"/>
          <c:showPercent val="0"/>
          <c:showBubbleSize val="0"/>
        </c:dLbls>
        <c:gapWidth val="150"/>
        <c:overlap val="-25"/>
        <c:axId val="496080280"/>
        <c:axId val="496077760"/>
      </c:barChart>
      <c:catAx>
        <c:axId val="496080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layout>
            <c:manualLayout>
              <c:xMode val="edge"/>
              <c:yMode val="edge"/>
              <c:x val="0.33642030541636841"/>
              <c:y val="0.834145320442539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77760"/>
        <c:crosses val="autoZero"/>
        <c:auto val="1"/>
        <c:lblAlgn val="ctr"/>
        <c:lblOffset val="100"/>
        <c:noMultiLvlLbl val="0"/>
      </c:catAx>
      <c:valAx>
        <c:axId val="496077760"/>
        <c:scaling>
          <c:orientation val="minMax"/>
        </c:scaling>
        <c:delete val="1"/>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800">
                    <a:latin typeface="Arial Rounded MT Bold" panose="020F0704030504030204" pitchFamily="34" charset="0"/>
                  </a:rPr>
                  <a:t>Employee</a:t>
                </a:r>
                <a:r>
                  <a:rPr lang="en-US" sz="800" baseline="0">
                    <a:latin typeface="Arial Rounded MT Bold" panose="020F0704030504030204" pitchFamily="34" charset="0"/>
                  </a:rPr>
                  <a:t> I.D Count</a:t>
                </a:r>
                <a:endParaRPr lang="en-US" sz="800">
                  <a:latin typeface="Arial Rounded MT Bold" panose="020F0704030504030204" pitchFamily="34" charset="0"/>
                </a:endParaRPr>
              </a:p>
            </c:rich>
          </c:tx>
          <c:layout>
            <c:manualLayout>
              <c:xMode val="edge"/>
              <c:yMode val="edge"/>
              <c:x val="4.1666666666666664E-2"/>
              <c:y val="0.181045051330609"/>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crossAx val="496080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70">
      <a:fgClr>
        <a:schemeClr val="accent5">
          <a:lumMod val="20000"/>
          <a:lumOff val="80000"/>
        </a:schemeClr>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ATTRITION</a:t>
            </a:r>
            <a:r>
              <a:rPr lang="en-US" baseline="0">
                <a:solidFill>
                  <a:schemeClr val="bg1"/>
                </a:solidFill>
                <a:latin typeface="Arial Rounded MT Bold" panose="020F0704030504030204" pitchFamily="34" charset="0"/>
              </a:rPr>
              <a:t> RATE</a:t>
            </a:r>
            <a:endParaRPr lang="en-US">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Analysis!$B$15:$B$16</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Analysis!$B$17:$B$24</c:f>
              <c:numCache>
                <c:formatCode>General</c:formatCode>
                <c:ptCount val="7"/>
                <c:pt idx="0">
                  <c:v>14</c:v>
                </c:pt>
                <c:pt idx="1">
                  <c:v>14</c:v>
                </c:pt>
                <c:pt idx="2">
                  <c:v>32</c:v>
                </c:pt>
                <c:pt idx="3">
                  <c:v>15</c:v>
                </c:pt>
                <c:pt idx="4">
                  <c:v>20</c:v>
                </c:pt>
                <c:pt idx="5">
                  <c:v>21</c:v>
                </c:pt>
              </c:numCache>
            </c:numRef>
          </c:val>
          <c:extLst>
            <c:ext xmlns:c16="http://schemas.microsoft.com/office/drawing/2014/chart" uri="{C3380CC4-5D6E-409C-BE32-E72D297353CC}">
              <c16:uniqueId val="{00000000-FC0C-4DCA-9957-11A5D053B825}"/>
            </c:ext>
          </c:extLst>
        </c:ser>
        <c:ser>
          <c:idx val="1"/>
          <c:order val="1"/>
          <c:tx>
            <c:strRef>
              <c:f>Analysis!$C$15:$C$16</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Analysis!$C$17:$C$24</c:f>
              <c:numCache>
                <c:formatCode>General</c:formatCode>
                <c:ptCount val="7"/>
                <c:pt idx="0">
                  <c:v>3</c:v>
                </c:pt>
                <c:pt idx="1">
                  <c:v>1</c:v>
                </c:pt>
                <c:pt idx="2">
                  <c:v>4</c:v>
                </c:pt>
                <c:pt idx="3">
                  <c:v>2</c:v>
                </c:pt>
                <c:pt idx="4">
                  <c:v>7</c:v>
                </c:pt>
                <c:pt idx="5">
                  <c:v>7</c:v>
                </c:pt>
              </c:numCache>
            </c:numRef>
          </c:val>
          <c:extLst>
            <c:ext xmlns:c16="http://schemas.microsoft.com/office/drawing/2014/chart" uri="{C3380CC4-5D6E-409C-BE32-E72D297353CC}">
              <c16:uniqueId val="{00000001-FC0C-4DCA-9957-11A5D053B825}"/>
            </c:ext>
          </c:extLst>
        </c:ser>
        <c:ser>
          <c:idx val="2"/>
          <c:order val="2"/>
          <c:tx>
            <c:strRef>
              <c:f>Analysis!$D$15:$D$16</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Analysis!$D$17:$D$24</c:f>
              <c:numCache>
                <c:formatCode>General</c:formatCode>
                <c:ptCount val="7"/>
                <c:pt idx="1">
                  <c:v>3</c:v>
                </c:pt>
                <c:pt idx="3">
                  <c:v>2</c:v>
                </c:pt>
                <c:pt idx="4">
                  <c:v>2</c:v>
                </c:pt>
                <c:pt idx="5">
                  <c:v>3</c:v>
                </c:pt>
              </c:numCache>
            </c:numRef>
          </c:val>
          <c:extLst>
            <c:ext xmlns:c16="http://schemas.microsoft.com/office/drawing/2014/chart" uri="{C3380CC4-5D6E-409C-BE32-E72D297353CC}">
              <c16:uniqueId val="{00000002-FC0C-4DCA-9957-11A5D053B825}"/>
            </c:ext>
          </c:extLst>
        </c:ser>
        <c:ser>
          <c:idx val="3"/>
          <c:order val="3"/>
          <c:tx>
            <c:strRef>
              <c:f>Analysis!$E$15:$E$16</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Analysis!$A$17:$A$24</c:f>
              <c:strCache>
                <c:ptCount val="7"/>
                <c:pt idx="0">
                  <c:v>Finance</c:v>
                </c:pt>
                <c:pt idx="1">
                  <c:v>Human Resources</c:v>
                </c:pt>
                <c:pt idx="2">
                  <c:v>Information Technology</c:v>
                </c:pt>
                <c:pt idx="3">
                  <c:v>Marketing</c:v>
                </c:pt>
                <c:pt idx="4">
                  <c:v>Operations</c:v>
                </c:pt>
                <c:pt idx="5">
                  <c:v>Sales</c:v>
                </c:pt>
                <c:pt idx="6">
                  <c:v>(blank)</c:v>
                </c:pt>
              </c:strCache>
            </c:strRef>
          </c:cat>
          <c:val>
            <c:numRef>
              <c:f>Analysis!$E$17:$E$24</c:f>
              <c:numCache>
                <c:formatCode>General</c:formatCode>
                <c:ptCount val="7"/>
              </c:numCache>
            </c:numRef>
          </c:val>
          <c:extLst>
            <c:ext xmlns:c16="http://schemas.microsoft.com/office/drawing/2014/chart" uri="{C3380CC4-5D6E-409C-BE32-E72D297353CC}">
              <c16:uniqueId val="{00000003-FC0C-4DCA-9957-11A5D053B825}"/>
            </c:ext>
          </c:extLst>
        </c:ser>
        <c:dLbls>
          <c:dLblPos val="outEnd"/>
          <c:showLegendKey val="0"/>
          <c:showVal val="1"/>
          <c:showCatName val="0"/>
          <c:showSerName val="0"/>
          <c:showPercent val="0"/>
          <c:showBubbleSize val="0"/>
        </c:dLbls>
        <c:gapWidth val="219"/>
        <c:axId val="496081720"/>
        <c:axId val="496081000"/>
      </c:barChart>
      <c:catAx>
        <c:axId val="496081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000"/>
        <c:crosses val="autoZero"/>
        <c:auto val="1"/>
        <c:lblAlgn val="ctr"/>
        <c:lblOffset val="100"/>
        <c:noMultiLvlLbl val="0"/>
      </c:catAx>
      <c:valAx>
        <c:axId val="496081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Employment</a:t>
                </a:r>
                <a:r>
                  <a:rPr lang="en-US" baseline="0">
                    <a:latin typeface="Arial Rounded MT Bold" panose="020F0704030504030204" pitchFamily="34" charset="0"/>
                  </a:rPr>
                  <a:t> Data</a:t>
                </a:r>
                <a:endParaRPr lang="en-US">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8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ltUpDiag">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[HR_Capstone_Completed_Ayodele_Fisayo_Temitope.xlsx]Analysis!PivotTable2</c:name>
    <c:fmtId val="48"/>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AVERAGE</a:t>
            </a:r>
            <a:r>
              <a:rPr lang="en-US" sz="1100" baseline="0">
                <a:solidFill>
                  <a:schemeClr val="bg1"/>
                </a:solidFill>
                <a:latin typeface="Arial Black" panose="020B0A04020102020204" pitchFamily="34" charset="0"/>
              </a:rPr>
              <a:t> SALARY BY DEPARTMENT</a:t>
            </a:r>
            <a:endParaRPr lang="en-US" sz="1100">
              <a:solidFill>
                <a:schemeClr val="bg1"/>
              </a:solidFill>
              <a:latin typeface="Arial Black" panose="020B0A0402010202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Analysis!$J$15</c:f>
              <c:strCache>
                <c:ptCount val="1"/>
                <c:pt idx="0">
                  <c:v>Total</c:v>
                </c:pt>
              </c:strCache>
            </c:strRef>
          </c:tx>
          <c:spPr>
            <a:solidFill>
              <a:schemeClr val="accent1"/>
            </a:solidFill>
            <a:ln>
              <a:noFill/>
            </a:ln>
            <a:effectLst/>
          </c:spPr>
          <c:invertIfNegative val="0"/>
          <c:cat>
            <c:strRef>
              <c:f>Analysis!$I$16:$I$23</c:f>
              <c:strCache>
                <c:ptCount val="7"/>
                <c:pt idx="0">
                  <c:v>Finance</c:v>
                </c:pt>
                <c:pt idx="1">
                  <c:v>Human Resources</c:v>
                </c:pt>
                <c:pt idx="2">
                  <c:v>Information Technology</c:v>
                </c:pt>
                <c:pt idx="3">
                  <c:v>Marketing</c:v>
                </c:pt>
                <c:pt idx="4">
                  <c:v>Operations</c:v>
                </c:pt>
                <c:pt idx="5">
                  <c:v>Sales</c:v>
                </c:pt>
                <c:pt idx="6">
                  <c:v>(blank)</c:v>
                </c:pt>
              </c:strCache>
            </c:strRef>
          </c:cat>
          <c:val>
            <c:numRef>
              <c:f>Analysis!$J$16:$J$23</c:f>
              <c:numCache>
                <c:formatCode>"$"#,##0.00</c:formatCode>
                <c:ptCount val="7"/>
                <c:pt idx="0">
                  <c:v>1479279.2899999998</c:v>
                </c:pt>
                <c:pt idx="1">
                  <c:v>1538762.43</c:v>
                </c:pt>
                <c:pt idx="2">
                  <c:v>2894009.1500000004</c:v>
                </c:pt>
                <c:pt idx="3">
                  <c:v>1621860.43</c:v>
                </c:pt>
                <c:pt idx="4">
                  <c:v>2319666.86</c:v>
                </c:pt>
                <c:pt idx="5">
                  <c:v>2669201.4400000004</c:v>
                </c:pt>
              </c:numCache>
            </c:numRef>
          </c:val>
          <c:extLst>
            <c:ext xmlns:c16="http://schemas.microsoft.com/office/drawing/2014/chart" uri="{C3380CC4-5D6E-409C-BE32-E72D297353CC}">
              <c16:uniqueId val="{00000000-B4AC-427C-8386-34DB26A43437}"/>
            </c:ext>
          </c:extLst>
        </c:ser>
        <c:dLbls>
          <c:showLegendKey val="0"/>
          <c:showVal val="0"/>
          <c:showCatName val="0"/>
          <c:showSerName val="0"/>
          <c:showPercent val="0"/>
          <c:showBubbleSize val="0"/>
        </c:dLbls>
        <c:gapWidth val="182"/>
        <c:axId val="1011433088"/>
        <c:axId val="1011438128"/>
      </c:barChart>
      <c:catAx>
        <c:axId val="101143308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r>
                  <a:rPr lang="en-US" sz="1100">
                    <a:latin typeface="Arial Rounded MT Bold" panose="020F0704030504030204" pitchFamily="34" charset="0"/>
                  </a:rPr>
                  <a:t>Department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8128"/>
        <c:crosses val="autoZero"/>
        <c:auto val="1"/>
        <c:lblAlgn val="ctr"/>
        <c:lblOffset val="100"/>
        <c:noMultiLvlLbl val="0"/>
      </c:catAx>
      <c:valAx>
        <c:axId val="10114381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3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25">
      <a:fgClr>
        <a:srgbClr val="B7DEE8"/>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[HR_Capstone_Completed_Ayodele_Fisayo_Temitope.xlsx]Analysis!PivotTable10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Arial Rounded MT Bold" panose="020F0704030504030204" pitchFamily="34" charset="0"/>
              </a:rPr>
              <a:t>BONUS</a:t>
            </a:r>
            <a:r>
              <a:rPr lang="en-US" sz="1100" baseline="0">
                <a:solidFill>
                  <a:schemeClr val="bg1"/>
                </a:solidFill>
                <a:latin typeface="Arial Rounded MT Bold" panose="020F0704030504030204" pitchFamily="34" charset="0"/>
              </a:rPr>
              <a:t> LAYOUT ANALYSIS</a:t>
            </a:r>
            <a:endParaRPr lang="en-US" sz="1100">
              <a:solidFill>
                <a:schemeClr val="bg1"/>
              </a:solidFill>
              <a:latin typeface="Arial Rounded MT Bold" panose="020F0704030504030204" pitchFamily="34" charset="0"/>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49-4E5E-BC99-5CD15A1A8C4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B49-4E5E-BC99-5CD15A1A8C4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B49-4E5E-BC99-5CD15A1A8C4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EB49-4E5E-BC99-5CD15A1A8C47}"/>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EB49-4E5E-BC99-5CD15A1A8C47}"/>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B49-4E5E-BC99-5CD15A1A8C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Analysis!$I$4:$I$10</c:f>
              <c:strCache>
                <c:ptCount val="6"/>
                <c:pt idx="0">
                  <c:v>Achieving</c:v>
                </c:pt>
                <c:pt idx="1">
                  <c:v>Developing</c:v>
                </c:pt>
                <c:pt idx="2">
                  <c:v>Exceeding</c:v>
                </c:pt>
                <c:pt idx="3">
                  <c:v>Needs Improvement</c:v>
                </c:pt>
                <c:pt idx="4">
                  <c:v>Outstanding</c:v>
                </c:pt>
                <c:pt idx="5">
                  <c:v>(blank)</c:v>
                </c:pt>
              </c:strCache>
            </c:strRef>
          </c:cat>
          <c:val>
            <c:numRef>
              <c:f>Analysis!$J$4:$J$10</c:f>
              <c:numCache>
                <c:formatCode>0.00;[Red]0.00</c:formatCode>
                <c:ptCount val="6"/>
                <c:pt idx="0">
                  <c:v>164994.30750000002</c:v>
                </c:pt>
                <c:pt idx="1">
                  <c:v>84450.788800000009</c:v>
                </c:pt>
                <c:pt idx="2">
                  <c:v>144546.94880000001</c:v>
                </c:pt>
                <c:pt idx="3">
                  <c:v>0</c:v>
                </c:pt>
                <c:pt idx="4">
                  <c:v>92304.651600000012</c:v>
                </c:pt>
              </c:numCache>
            </c:numRef>
          </c:val>
          <c:extLst>
            <c:ext xmlns:c16="http://schemas.microsoft.com/office/drawing/2014/chart" uri="{C3380CC4-5D6E-409C-BE32-E72D297353CC}">
              <c16:uniqueId val="{0000000C-EB49-4E5E-BC99-5CD15A1A8C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30">
      <a:fgClr>
        <a:srgbClr val="B7DEE8"/>
      </a:fgClr>
      <a:bgClr>
        <a:schemeClr val="bg1"/>
      </a:bgClr>
    </a:patt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hyperlink" Target="#'HR Dashboard'!A1"/><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2.xml"/><Relationship Id="rId7" Type="http://schemas.openxmlformats.org/officeDocument/2006/relationships/image" Target="../media/image1.png"/><Relationship Id="rId2" Type="http://schemas.openxmlformats.org/officeDocument/2006/relationships/chart" Target="../charts/chart11.xml"/><Relationship Id="rId1" Type="http://schemas.openxmlformats.org/officeDocument/2006/relationships/hyperlink" Target="#'HR Dashboard (2)'!A1"/><Relationship Id="rId6" Type="http://schemas.openxmlformats.org/officeDocument/2006/relationships/image" Target="../media/image3.png"/><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6.xml"/><Relationship Id="rId7" Type="http://schemas.openxmlformats.org/officeDocument/2006/relationships/image" Target="../media/image2.png"/><Relationship Id="rId2" Type="http://schemas.openxmlformats.org/officeDocument/2006/relationships/chart" Target="../charts/chart15.xml"/><Relationship Id="rId1" Type="http://schemas.openxmlformats.org/officeDocument/2006/relationships/hyperlink" Target="#'HR Dashboard (3)'!A1"/><Relationship Id="rId6"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7</xdr:col>
      <xdr:colOff>304800</xdr:colOff>
      <xdr:row>13</xdr:row>
      <xdr:rowOff>165100</xdr:rowOff>
    </xdr:to>
    <xdr:graphicFrame macro="">
      <xdr:nvGraphicFramePr>
        <xdr:cNvPr id="5" name="Chart 4">
          <a:extLst>
            <a:ext uri="{FF2B5EF4-FFF2-40B4-BE49-F238E27FC236}">
              <a16:creationId xmlns:a16="http://schemas.microsoft.com/office/drawing/2014/main" id="{DE88E277-13C5-4FD1-BCE3-F46A20D00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14</xdr:col>
      <xdr:colOff>381000</xdr:colOff>
      <xdr:row>13</xdr:row>
      <xdr:rowOff>165100</xdr:rowOff>
    </xdr:to>
    <xdr:graphicFrame macro="">
      <xdr:nvGraphicFramePr>
        <xdr:cNvPr id="6" name="Chart 5">
          <a:extLst>
            <a:ext uri="{FF2B5EF4-FFF2-40B4-BE49-F238E27FC236}">
              <a16:creationId xmlns:a16="http://schemas.microsoft.com/office/drawing/2014/main" id="{43352347-06E5-4D6B-A43E-C81F9505F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16</xdr:row>
      <xdr:rowOff>76200</xdr:rowOff>
    </xdr:from>
    <xdr:to>
      <xdr:col>7</xdr:col>
      <xdr:colOff>317500</xdr:colOff>
      <xdr:row>29</xdr:row>
      <xdr:rowOff>50800</xdr:rowOff>
    </xdr:to>
    <xdr:graphicFrame macro="">
      <xdr:nvGraphicFramePr>
        <xdr:cNvPr id="7" name="Chart 6">
          <a:extLst>
            <a:ext uri="{FF2B5EF4-FFF2-40B4-BE49-F238E27FC236}">
              <a16:creationId xmlns:a16="http://schemas.microsoft.com/office/drawing/2014/main" id="{A5ACC553-0C9E-4C53-8016-C3D28278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14</xdr:col>
      <xdr:colOff>381000</xdr:colOff>
      <xdr:row>29</xdr:row>
      <xdr:rowOff>44450</xdr:rowOff>
    </xdr:to>
    <xdr:graphicFrame macro="">
      <xdr:nvGraphicFramePr>
        <xdr:cNvPr id="8" name="Chart 7">
          <a:extLst>
            <a:ext uri="{FF2B5EF4-FFF2-40B4-BE49-F238E27FC236}">
              <a16:creationId xmlns:a16="http://schemas.microsoft.com/office/drawing/2014/main" id="{22E88B73-A4A0-464F-900C-CF5F08959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273050</xdr:colOff>
      <xdr:row>2</xdr:row>
      <xdr:rowOff>171450</xdr:rowOff>
    </xdr:from>
    <xdr:to>
      <xdr:col>22</xdr:col>
      <xdr:colOff>215900</xdr:colOff>
      <xdr:row>14</xdr:row>
      <xdr:rowOff>38100</xdr:rowOff>
    </xdr:to>
    <xdr:graphicFrame macro="">
      <xdr:nvGraphicFramePr>
        <xdr:cNvPr id="11" name="Chart 10">
          <a:extLst>
            <a:ext uri="{FF2B5EF4-FFF2-40B4-BE49-F238E27FC236}">
              <a16:creationId xmlns:a16="http://schemas.microsoft.com/office/drawing/2014/main" id="{7C7A3D87-8031-4DD8-95BD-7D8E75B6E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273050</xdr:colOff>
      <xdr:row>16</xdr:row>
      <xdr:rowOff>0</xdr:rowOff>
    </xdr:from>
    <xdr:to>
      <xdr:col>22</xdr:col>
      <xdr:colOff>304800</xdr:colOff>
      <xdr:row>30</xdr:row>
      <xdr:rowOff>133350</xdr:rowOff>
    </xdr:to>
    <xdr:graphicFrame macro="">
      <xdr:nvGraphicFramePr>
        <xdr:cNvPr id="12" name="Chart 11">
          <a:extLst>
            <a:ext uri="{FF2B5EF4-FFF2-40B4-BE49-F238E27FC236}">
              <a16:creationId xmlns:a16="http://schemas.microsoft.com/office/drawing/2014/main" id="{03AE26F0-50F8-45AE-B037-21536F20A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124526</xdr:colOff>
      <xdr:row>4</xdr:row>
      <xdr:rowOff>115455</xdr:rowOff>
    </xdr:from>
    <xdr:to>
      <xdr:col>20</xdr:col>
      <xdr:colOff>163286</xdr:colOff>
      <xdr:row>36</xdr:row>
      <xdr:rowOff>172359</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F7D2D27F-26D5-C03D-5FE4-F87B1C552072}"/>
            </a:ext>
          </a:extLst>
        </xdr:cNvPr>
        <xdr:cNvSpPr/>
      </xdr:nvSpPr>
      <xdr:spPr>
        <a:xfrm>
          <a:off x="124526" y="1049812"/>
          <a:ext cx="12194474" cy="5862618"/>
        </a:xfrm>
        <a:prstGeom prst="roundRect">
          <a:avLst>
            <a:gd name="adj" fmla="val 2920"/>
          </a:avLst>
        </a:prstGeom>
        <a:solidFill>
          <a:schemeClr val="accent5">
            <a:lumMod val="20000"/>
            <a:lumOff val="80000"/>
          </a:schemeClr>
        </a:solidFill>
        <a:ln>
          <a:noFill/>
        </a:ln>
        <a:effectLst>
          <a:outerShdw blurRad="40000" dist="20000" dir="5400000" rotWithShape="0">
            <a:srgbClr val="000000">
              <a:alpha val="38000"/>
            </a:srgbClr>
          </a:outerShdw>
          <a:softEdge rad="63500"/>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217057</xdr:colOff>
      <xdr:row>5</xdr:row>
      <xdr:rowOff>57727</xdr:rowOff>
    </xdr:from>
    <xdr:to>
      <xdr:col>3</xdr:col>
      <xdr:colOff>548409</xdr:colOff>
      <xdr:row>36</xdr:row>
      <xdr:rowOff>90715</xdr:rowOff>
    </xdr:to>
    <xdr:sp macro="" textlink="">
      <xdr:nvSpPr>
        <xdr:cNvPr id="2" name="Rectangle: Rounded Corners 1">
          <a:extLst>
            <a:ext uri="{FF2B5EF4-FFF2-40B4-BE49-F238E27FC236}">
              <a16:creationId xmlns:a16="http://schemas.microsoft.com/office/drawing/2014/main" id="{DEBD63F5-7FB1-3ECE-9517-24364142461E}"/>
            </a:ext>
          </a:extLst>
        </xdr:cNvPr>
        <xdr:cNvSpPr/>
      </xdr:nvSpPr>
      <xdr:spPr>
        <a:xfrm>
          <a:off x="217057" y="1173513"/>
          <a:ext cx="2154709" cy="5657273"/>
        </a:xfrm>
        <a:prstGeom prst="roundRect">
          <a:avLst>
            <a:gd name="adj" fmla="val 9356"/>
          </a:avLst>
        </a:prstGeom>
        <a:solidFill>
          <a:schemeClr val="accent5">
            <a:lumMod val="50000"/>
          </a:schemeClr>
        </a:solidFill>
        <a:ln>
          <a:solidFill>
            <a:schemeClr val="accent5">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134509</xdr:colOff>
      <xdr:row>6</xdr:row>
      <xdr:rowOff>123700</xdr:rowOff>
    </xdr:from>
    <xdr:to>
      <xdr:col>8</xdr:col>
      <xdr:colOff>72572</xdr:colOff>
      <xdr:row>12</xdr:row>
      <xdr:rowOff>59952</xdr:rowOff>
    </xdr:to>
    <xdr:sp macro="" textlink="">
      <xdr:nvSpPr>
        <xdr:cNvPr id="6" name="Rectangle: Rounded Corners 5">
          <a:extLst>
            <a:ext uri="{FF2B5EF4-FFF2-40B4-BE49-F238E27FC236}">
              <a16:creationId xmlns:a16="http://schemas.microsoft.com/office/drawing/2014/main" id="{CE6A6A9E-6DAC-A998-0BD6-86A3451F5F80}"/>
            </a:ext>
          </a:extLst>
        </xdr:cNvPr>
        <xdr:cNvSpPr/>
      </xdr:nvSpPr>
      <xdr:spPr>
        <a:xfrm>
          <a:off x="2565652" y="1420914"/>
          <a:ext cx="2369206" cy="1024824"/>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230908</xdr:colOff>
      <xdr:row>1</xdr:row>
      <xdr:rowOff>115454</xdr:rowOff>
    </xdr:from>
    <xdr:to>
      <xdr:col>20</xdr:col>
      <xdr:colOff>36285</xdr:colOff>
      <xdr:row>4</xdr:row>
      <xdr:rowOff>57727</xdr:rowOff>
    </xdr:to>
    <xdr:sp macro="" textlink="">
      <xdr:nvSpPr>
        <xdr:cNvPr id="5" name="Rectangle 4">
          <a:extLst>
            <a:ext uri="{FF2B5EF4-FFF2-40B4-BE49-F238E27FC236}">
              <a16:creationId xmlns:a16="http://schemas.microsoft.com/office/drawing/2014/main" id="{962E0FA6-9856-B4D5-230E-66EF479FFDF2}"/>
            </a:ext>
          </a:extLst>
        </xdr:cNvPr>
        <xdr:cNvSpPr/>
      </xdr:nvSpPr>
      <xdr:spPr>
        <a:xfrm>
          <a:off x="230908" y="296883"/>
          <a:ext cx="11961091" cy="695201"/>
        </a:xfrm>
        <a:prstGeom prst="rect">
          <a:avLst/>
        </a:prstGeom>
        <a:solidFill>
          <a:schemeClr val="accent5">
            <a:lumMod val="50000"/>
          </a:schemeClr>
        </a:solidFill>
        <a:ln>
          <a:solidFill>
            <a:schemeClr val="accent5">
              <a:lumMod val="5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800">
              <a:solidFill>
                <a:schemeClr val="bg1"/>
              </a:solidFill>
              <a:latin typeface="Arial Black" panose="020B0A04020102020204" pitchFamily="34" charset="0"/>
            </a:rPr>
            <a:t>HR ANALYTICS DASHBOARD</a:t>
          </a:r>
        </a:p>
      </xdr:txBody>
    </xdr:sp>
    <xdr:clientData/>
  </xdr:twoCellAnchor>
  <xdr:twoCellAnchor>
    <xdr:from>
      <xdr:col>4</xdr:col>
      <xdr:colOff>303069</xdr:colOff>
      <xdr:row>8</xdr:row>
      <xdr:rowOff>2</xdr:rowOff>
    </xdr:from>
    <xdr:to>
      <xdr:col>7</xdr:col>
      <xdr:colOff>493197</xdr:colOff>
      <xdr:row>9</xdr:row>
      <xdr:rowOff>128560</xdr:rowOff>
    </xdr:to>
    <xdr:sp macro="" textlink="">
      <xdr:nvSpPr>
        <xdr:cNvPr id="10" name="Rectangle: Rounded Corners 9">
          <a:extLst>
            <a:ext uri="{FF2B5EF4-FFF2-40B4-BE49-F238E27FC236}">
              <a16:creationId xmlns:a16="http://schemas.microsoft.com/office/drawing/2014/main" id="{C7699FE6-E185-0196-523F-7F12772ABCF0}"/>
            </a:ext>
          </a:extLst>
        </xdr:cNvPr>
        <xdr:cNvSpPr/>
      </xdr:nvSpPr>
      <xdr:spPr>
        <a:xfrm>
          <a:off x="2734212" y="1660073"/>
          <a:ext cx="2013485" cy="309987"/>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Total</a:t>
          </a:r>
          <a:r>
            <a:rPr lang="en-US" sz="1400" baseline="0">
              <a:solidFill>
                <a:schemeClr val="accent5">
                  <a:lumMod val="50000"/>
                </a:schemeClr>
              </a:solidFill>
              <a:latin typeface="Arial Black" panose="020B0A04020102020204" pitchFamily="34" charset="0"/>
            </a:rPr>
            <a:t> Employees</a:t>
          </a:r>
          <a:endParaRPr lang="en-US" sz="1400">
            <a:solidFill>
              <a:schemeClr val="accent5">
                <a:lumMod val="50000"/>
              </a:schemeClr>
            </a:solidFill>
            <a:latin typeface="Arial Black" panose="020B0A04020102020204" pitchFamily="34" charset="0"/>
          </a:endParaRPr>
        </a:p>
      </xdr:txBody>
    </xdr:sp>
    <xdr:clientData/>
  </xdr:twoCellAnchor>
  <xdr:twoCellAnchor>
    <xdr:from>
      <xdr:col>4</xdr:col>
      <xdr:colOff>447387</xdr:colOff>
      <xdr:row>9</xdr:row>
      <xdr:rowOff>163286</xdr:rowOff>
    </xdr:from>
    <xdr:to>
      <xdr:col>7</xdr:col>
      <xdr:colOff>250149</xdr:colOff>
      <xdr:row>11</xdr:row>
      <xdr:rowOff>117929</xdr:rowOff>
    </xdr:to>
    <xdr:sp macro="" textlink="Analysis!B12">
      <xdr:nvSpPr>
        <xdr:cNvPr id="11" name="Rectangle 10">
          <a:extLst>
            <a:ext uri="{FF2B5EF4-FFF2-40B4-BE49-F238E27FC236}">
              <a16:creationId xmlns:a16="http://schemas.microsoft.com/office/drawing/2014/main" id="{638C081C-0638-1A80-C058-5572A55D6541}"/>
            </a:ext>
          </a:extLst>
        </xdr:cNvPr>
        <xdr:cNvSpPr/>
      </xdr:nvSpPr>
      <xdr:spPr>
        <a:xfrm>
          <a:off x="2878530" y="2004786"/>
          <a:ext cx="1626119" cy="317500"/>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C3BD07-47E4-4893-9F58-DE9FFB16273A}" type="TxLink">
            <a:rPr lang="en-US" sz="1600" b="0" i="0" u="none" strike="noStrike">
              <a:solidFill>
                <a:schemeClr val="accent5">
                  <a:lumMod val="50000"/>
                </a:schemeClr>
              </a:solidFill>
              <a:latin typeface="Arial Black" panose="020B0A04020102020204" pitchFamily="34" charset="0"/>
              <a:cs typeface="Calibri"/>
            </a:rPr>
            <a:pPr algn="ctr"/>
            <a:t>28</a:t>
          </a:fld>
          <a:endParaRPr lang="en-US" sz="1600">
            <a:solidFill>
              <a:schemeClr val="accent5">
                <a:lumMod val="50000"/>
              </a:schemeClr>
            </a:solidFill>
            <a:latin typeface="Arial Black" panose="020B0A04020102020204" pitchFamily="34" charset="0"/>
          </a:endParaRPr>
        </a:p>
      </xdr:txBody>
    </xdr:sp>
    <xdr:clientData/>
  </xdr:twoCellAnchor>
  <xdr:twoCellAnchor>
    <xdr:from>
      <xdr:col>8</xdr:col>
      <xdr:colOff>276184</xdr:colOff>
      <xdr:row>6</xdr:row>
      <xdr:rowOff>163286</xdr:rowOff>
    </xdr:from>
    <xdr:to>
      <xdr:col>12</xdr:col>
      <xdr:colOff>145142</xdr:colOff>
      <xdr:row>12</xdr:row>
      <xdr:rowOff>54428</xdr:rowOff>
    </xdr:to>
    <xdr:sp macro="" textlink="">
      <xdr:nvSpPr>
        <xdr:cNvPr id="17" name="Rectangle: Rounded Corners 16">
          <a:extLst>
            <a:ext uri="{FF2B5EF4-FFF2-40B4-BE49-F238E27FC236}">
              <a16:creationId xmlns:a16="http://schemas.microsoft.com/office/drawing/2014/main" id="{EA10FBEE-36B6-1CE3-08CD-B1D260E6614E}"/>
            </a:ext>
          </a:extLst>
        </xdr:cNvPr>
        <xdr:cNvSpPr/>
      </xdr:nvSpPr>
      <xdr:spPr>
        <a:xfrm>
          <a:off x="5138470" y="1460500"/>
          <a:ext cx="2300101" cy="979714"/>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8</xdr:col>
      <xdr:colOff>444746</xdr:colOff>
      <xdr:row>7</xdr:row>
      <xdr:rowOff>176728</xdr:rowOff>
    </xdr:from>
    <xdr:to>
      <xdr:col>11</xdr:col>
      <xdr:colOff>577737</xdr:colOff>
      <xdr:row>9</xdr:row>
      <xdr:rowOff>123610</xdr:rowOff>
    </xdr:to>
    <xdr:sp macro="" textlink="">
      <xdr:nvSpPr>
        <xdr:cNvPr id="18" name="Rectangle: Rounded Corners 17">
          <a:extLst>
            <a:ext uri="{FF2B5EF4-FFF2-40B4-BE49-F238E27FC236}">
              <a16:creationId xmlns:a16="http://schemas.microsoft.com/office/drawing/2014/main" id="{B17EFE18-0DAD-8A4F-33F7-B4A87D214014}"/>
            </a:ext>
          </a:extLst>
        </xdr:cNvPr>
        <xdr:cNvSpPr/>
      </xdr:nvSpPr>
      <xdr:spPr>
        <a:xfrm>
          <a:off x="5307032" y="1655371"/>
          <a:ext cx="1956348" cy="309739"/>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Average</a:t>
          </a:r>
          <a:r>
            <a:rPr lang="en-US" sz="1400" baseline="0">
              <a:solidFill>
                <a:schemeClr val="accent5">
                  <a:lumMod val="50000"/>
                </a:schemeClr>
              </a:solidFill>
              <a:latin typeface="Arial Black" panose="020B0A04020102020204" pitchFamily="34" charset="0"/>
            </a:rPr>
            <a:t> Salary</a:t>
          </a:r>
          <a:endParaRPr lang="en-US" sz="1400">
            <a:solidFill>
              <a:schemeClr val="accent5">
                <a:lumMod val="50000"/>
              </a:schemeClr>
            </a:solidFill>
            <a:latin typeface="Arial Black" panose="020B0A04020102020204" pitchFamily="34" charset="0"/>
          </a:endParaRPr>
        </a:p>
      </xdr:txBody>
    </xdr:sp>
    <xdr:clientData/>
  </xdr:twoCellAnchor>
  <xdr:twoCellAnchor>
    <xdr:from>
      <xdr:col>8</xdr:col>
      <xdr:colOff>589063</xdr:colOff>
      <xdr:row>10</xdr:row>
      <xdr:rowOff>7668</xdr:rowOff>
    </xdr:from>
    <xdr:to>
      <xdr:col>11</xdr:col>
      <xdr:colOff>344395</xdr:colOff>
      <xdr:row>11</xdr:row>
      <xdr:rowOff>136072</xdr:rowOff>
    </xdr:to>
    <xdr:sp macro="" textlink="Analysis!J24">
      <xdr:nvSpPr>
        <xdr:cNvPr id="19" name="Rectangle 18">
          <a:extLst>
            <a:ext uri="{FF2B5EF4-FFF2-40B4-BE49-F238E27FC236}">
              <a16:creationId xmlns:a16="http://schemas.microsoft.com/office/drawing/2014/main" id="{24912FB6-09FC-9387-B625-FA735DC03863}"/>
            </a:ext>
          </a:extLst>
        </xdr:cNvPr>
        <xdr:cNvSpPr/>
      </xdr:nvSpPr>
      <xdr:spPr>
        <a:xfrm>
          <a:off x="5451349" y="2030597"/>
          <a:ext cx="1578689" cy="309832"/>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3D9C37-948C-441A-85E3-93F0CF2B1C00}" type="TxLink">
            <a:rPr lang="en-US" sz="1600" b="0" i="0" u="none" strike="noStrike">
              <a:solidFill>
                <a:schemeClr val="accent5">
                  <a:lumMod val="50000"/>
                </a:schemeClr>
              </a:solidFill>
              <a:latin typeface="Arial Black" panose="020B0A04020102020204" pitchFamily="34" charset="0"/>
              <a:cs typeface="Calibri"/>
            </a:rPr>
            <a:pPr algn="ctr"/>
            <a:t>$12,522,779.60</a:t>
          </a:fld>
          <a:endParaRPr lang="en-US" sz="1600">
            <a:solidFill>
              <a:schemeClr val="accent5">
                <a:lumMod val="50000"/>
              </a:schemeClr>
            </a:solidFill>
            <a:latin typeface="Arial Black" panose="020B0A04020102020204" pitchFamily="34" charset="0"/>
          </a:endParaRPr>
        </a:p>
      </xdr:txBody>
    </xdr:sp>
    <xdr:clientData/>
  </xdr:twoCellAnchor>
  <xdr:twoCellAnchor>
    <xdr:from>
      <xdr:col>12</xdr:col>
      <xdr:colOff>301586</xdr:colOff>
      <xdr:row>7</xdr:row>
      <xdr:rowOff>1730</xdr:rowOff>
    </xdr:from>
    <xdr:to>
      <xdr:col>16</xdr:col>
      <xdr:colOff>111583</xdr:colOff>
      <xdr:row>12</xdr:row>
      <xdr:rowOff>62921</xdr:rowOff>
    </xdr:to>
    <xdr:sp macro="" textlink="">
      <xdr:nvSpPr>
        <xdr:cNvPr id="23" name="Rectangle: Rounded Corners 22">
          <a:extLst>
            <a:ext uri="{FF2B5EF4-FFF2-40B4-BE49-F238E27FC236}">
              <a16:creationId xmlns:a16="http://schemas.microsoft.com/office/drawing/2014/main" id="{D7A6BE7D-B9F6-E897-5371-7B346C9D90CD}"/>
            </a:ext>
          </a:extLst>
        </xdr:cNvPr>
        <xdr:cNvSpPr/>
      </xdr:nvSpPr>
      <xdr:spPr>
        <a:xfrm>
          <a:off x="7595015" y="1480373"/>
          <a:ext cx="2241139" cy="968334"/>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12</xdr:col>
      <xdr:colOff>280802</xdr:colOff>
      <xdr:row>8</xdr:row>
      <xdr:rowOff>28864</xdr:rowOff>
    </xdr:from>
    <xdr:to>
      <xdr:col>16</xdr:col>
      <xdr:colOff>54429</xdr:colOff>
      <xdr:row>9</xdr:row>
      <xdr:rowOff>117929</xdr:rowOff>
    </xdr:to>
    <xdr:sp macro="" textlink="">
      <xdr:nvSpPr>
        <xdr:cNvPr id="24" name="Rectangle: Rounded Corners 23">
          <a:extLst>
            <a:ext uri="{FF2B5EF4-FFF2-40B4-BE49-F238E27FC236}">
              <a16:creationId xmlns:a16="http://schemas.microsoft.com/office/drawing/2014/main" id="{7564A644-9695-3107-9A3F-9C88A22B0B73}"/>
            </a:ext>
          </a:extLst>
        </xdr:cNvPr>
        <xdr:cNvSpPr/>
      </xdr:nvSpPr>
      <xdr:spPr>
        <a:xfrm>
          <a:off x="7574231" y="1688935"/>
          <a:ext cx="2204769" cy="270494"/>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accent5">
                  <a:lumMod val="50000"/>
                </a:schemeClr>
              </a:solidFill>
              <a:latin typeface="Arial Black" panose="020B0A04020102020204" pitchFamily="34" charset="0"/>
            </a:rPr>
            <a:t>Overall</a:t>
          </a:r>
          <a:r>
            <a:rPr lang="en-US" sz="1300" baseline="0">
              <a:solidFill>
                <a:schemeClr val="accent5">
                  <a:lumMod val="50000"/>
                </a:schemeClr>
              </a:solidFill>
              <a:latin typeface="Arial Black" panose="020B0A04020102020204" pitchFamily="34" charset="0"/>
            </a:rPr>
            <a:t> Attrition Rate</a:t>
          </a:r>
          <a:endParaRPr lang="en-US" sz="1300">
            <a:solidFill>
              <a:schemeClr val="accent5">
                <a:lumMod val="50000"/>
              </a:schemeClr>
            </a:solidFill>
            <a:latin typeface="Arial Black" panose="020B0A04020102020204" pitchFamily="34" charset="0"/>
          </a:endParaRPr>
        </a:p>
      </xdr:txBody>
    </xdr:sp>
    <xdr:clientData/>
  </xdr:twoCellAnchor>
  <xdr:twoCellAnchor>
    <xdr:from>
      <xdr:col>13</xdr:col>
      <xdr:colOff>8329</xdr:colOff>
      <xdr:row>10</xdr:row>
      <xdr:rowOff>57726</xdr:rowOff>
    </xdr:from>
    <xdr:to>
      <xdr:col>15</xdr:col>
      <xdr:colOff>329427</xdr:colOff>
      <xdr:row>11</xdr:row>
      <xdr:rowOff>169199</xdr:rowOff>
    </xdr:to>
    <xdr:sp macro="" textlink="Analysis!G25">
      <xdr:nvSpPr>
        <xdr:cNvPr id="25" name="Rectangle 24">
          <a:extLst>
            <a:ext uri="{FF2B5EF4-FFF2-40B4-BE49-F238E27FC236}">
              <a16:creationId xmlns:a16="http://schemas.microsoft.com/office/drawing/2014/main" id="{E433DADA-A9A6-522A-5DAE-60C6D16AC435}"/>
            </a:ext>
          </a:extLst>
        </xdr:cNvPr>
        <xdr:cNvSpPr/>
      </xdr:nvSpPr>
      <xdr:spPr>
        <a:xfrm>
          <a:off x="7909543" y="2080655"/>
          <a:ext cx="1536670" cy="292901"/>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9F11A0-30B6-4C19-8003-6F8C912CEF38}" type="TxLink">
            <a:rPr lang="en-US" sz="1600" b="0" i="0" u="none" strike="noStrike">
              <a:solidFill>
                <a:schemeClr val="accent5">
                  <a:lumMod val="50000"/>
                </a:schemeClr>
              </a:solidFill>
              <a:latin typeface="Arial Black" panose="020B0A04020102020204" pitchFamily="34" charset="0"/>
              <a:cs typeface="Calibri"/>
            </a:rPr>
            <a:pPr algn="ctr"/>
            <a:t>7%</a:t>
          </a:fld>
          <a:endParaRPr lang="en-US" sz="1600">
            <a:solidFill>
              <a:schemeClr val="accent5">
                <a:lumMod val="50000"/>
              </a:schemeClr>
            </a:solidFill>
            <a:latin typeface="Arial Black" panose="020B0A04020102020204" pitchFamily="34" charset="0"/>
          </a:endParaRPr>
        </a:p>
      </xdr:txBody>
    </xdr:sp>
    <xdr:clientData/>
  </xdr:twoCellAnchor>
  <xdr:twoCellAnchor>
    <xdr:from>
      <xdr:col>0</xdr:col>
      <xdr:colOff>303068</xdr:colOff>
      <xdr:row>6</xdr:row>
      <xdr:rowOff>72160</xdr:rowOff>
    </xdr:from>
    <xdr:to>
      <xdr:col>3</xdr:col>
      <xdr:colOff>418523</xdr:colOff>
      <xdr:row>8</xdr:row>
      <xdr:rowOff>101022</xdr:rowOff>
    </xdr:to>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7370A093-F43A-4241-D718-121412F22B7D}"/>
            </a:ext>
          </a:extLst>
        </xdr:cNvPr>
        <xdr:cNvSpPr/>
      </xdr:nvSpPr>
      <xdr:spPr>
        <a:xfrm>
          <a:off x="303068" y="1399887"/>
          <a:ext cx="1933864" cy="404090"/>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Total</a:t>
          </a:r>
          <a:r>
            <a:rPr lang="en-US" sz="1400" baseline="0">
              <a:solidFill>
                <a:schemeClr val="bg1">
                  <a:lumMod val="95000"/>
                </a:schemeClr>
              </a:solidFill>
              <a:latin typeface="Arial Black" panose="020B0A04020102020204" pitchFamily="34" charset="0"/>
            </a:rPr>
            <a:t> Employees</a:t>
          </a:r>
          <a:endParaRPr lang="en-US" sz="1400">
            <a:solidFill>
              <a:schemeClr val="bg1">
                <a:lumMod val="95000"/>
              </a:schemeClr>
            </a:solidFill>
            <a:latin typeface="Arial Black" panose="020B0A04020102020204" pitchFamily="34" charset="0"/>
          </a:endParaRPr>
        </a:p>
      </xdr:txBody>
    </xdr:sp>
    <xdr:clientData/>
  </xdr:twoCellAnchor>
  <xdr:twoCellAnchor>
    <xdr:from>
      <xdr:col>0</xdr:col>
      <xdr:colOff>296718</xdr:colOff>
      <xdr:row>9</xdr:row>
      <xdr:rowOff>80242</xdr:rowOff>
    </xdr:from>
    <xdr:to>
      <xdr:col>3</xdr:col>
      <xdr:colOff>412173</xdr:colOff>
      <xdr:row>11</xdr:row>
      <xdr:rowOff>109105</xdr:rowOff>
    </xdr:to>
    <xdr:sp macro="" textlink="">
      <xdr:nvSpPr>
        <xdr:cNvPr id="29" name="Rectangle: Rounded Corners 28">
          <a:extLst>
            <a:ext uri="{FF2B5EF4-FFF2-40B4-BE49-F238E27FC236}">
              <a16:creationId xmlns:a16="http://schemas.microsoft.com/office/drawing/2014/main" id="{DC111A70-B9B4-3FDC-F41E-ECFFF901CF24}"/>
            </a:ext>
          </a:extLst>
        </xdr:cNvPr>
        <xdr:cNvSpPr/>
      </xdr:nvSpPr>
      <xdr:spPr>
        <a:xfrm>
          <a:off x="296718" y="1970810"/>
          <a:ext cx="1933864" cy="404090"/>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Billing</a:t>
          </a:r>
        </a:p>
      </xdr:txBody>
    </xdr:sp>
    <xdr:clientData/>
  </xdr:twoCellAnchor>
  <xdr:twoCellAnchor>
    <xdr:from>
      <xdr:col>0</xdr:col>
      <xdr:colOff>290368</xdr:colOff>
      <xdr:row>12</xdr:row>
      <xdr:rowOff>88324</xdr:rowOff>
    </xdr:from>
    <xdr:to>
      <xdr:col>3</xdr:col>
      <xdr:colOff>405823</xdr:colOff>
      <xdr:row>14</xdr:row>
      <xdr:rowOff>117187</xdr:rowOff>
    </xdr:to>
    <xdr:sp macro="" textlink="">
      <xdr:nvSpPr>
        <xdr:cNvPr id="30" name="Rectangle: Rounded Corners 29">
          <a:extLst>
            <a:ext uri="{FF2B5EF4-FFF2-40B4-BE49-F238E27FC236}">
              <a16:creationId xmlns:a16="http://schemas.microsoft.com/office/drawing/2014/main" id="{562D80CD-63F7-FA16-D789-817CC59AD333}"/>
            </a:ext>
          </a:extLst>
        </xdr:cNvPr>
        <xdr:cNvSpPr/>
      </xdr:nvSpPr>
      <xdr:spPr>
        <a:xfrm>
          <a:off x="290368" y="2541733"/>
          <a:ext cx="1933864" cy="404090"/>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Attrition</a:t>
          </a:r>
        </a:p>
      </xdr:txBody>
    </xdr:sp>
    <xdr:clientData/>
  </xdr:twoCellAnchor>
  <xdr:twoCellAnchor>
    <xdr:from>
      <xdr:col>4</xdr:col>
      <xdr:colOff>101024</xdr:colOff>
      <xdr:row>13</xdr:row>
      <xdr:rowOff>158749</xdr:rowOff>
    </xdr:from>
    <xdr:to>
      <xdr:col>9</xdr:col>
      <xdr:colOff>43296</xdr:colOff>
      <xdr:row>24</xdr:row>
      <xdr:rowOff>43294</xdr:rowOff>
    </xdr:to>
    <xdr:sp macro="" textlink="">
      <xdr:nvSpPr>
        <xdr:cNvPr id="36" name="Rectangle: Rounded Corners 35">
          <a:extLst>
            <a:ext uri="{FF2B5EF4-FFF2-40B4-BE49-F238E27FC236}">
              <a16:creationId xmlns:a16="http://schemas.microsoft.com/office/drawing/2014/main" id="{2F5281D6-7AF6-0346-1988-935394AAF62F}"/>
            </a:ext>
          </a:extLst>
        </xdr:cNvPr>
        <xdr:cNvSpPr/>
      </xdr:nvSpPr>
      <xdr:spPr>
        <a:xfrm>
          <a:off x="2532167" y="2725963"/>
          <a:ext cx="2981200" cy="1880260"/>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144318</xdr:colOff>
      <xdr:row>14</xdr:row>
      <xdr:rowOff>28864</xdr:rowOff>
    </xdr:from>
    <xdr:to>
      <xdr:col>9</xdr:col>
      <xdr:colOff>43295</xdr:colOff>
      <xdr:row>24</xdr:row>
      <xdr:rowOff>0</xdr:rowOff>
    </xdr:to>
    <xdr:graphicFrame macro="">
      <xdr:nvGraphicFramePr>
        <xdr:cNvPr id="35" name="Chart 34">
          <a:extLst>
            <a:ext uri="{FF2B5EF4-FFF2-40B4-BE49-F238E27FC236}">
              <a16:creationId xmlns:a16="http://schemas.microsoft.com/office/drawing/2014/main" id="{14C7409D-B936-4414-B36E-8817D974A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80242</xdr:colOff>
      <xdr:row>24</xdr:row>
      <xdr:rowOff>181263</xdr:rowOff>
    </xdr:from>
    <xdr:to>
      <xdr:col>9</xdr:col>
      <xdr:colOff>22514</xdr:colOff>
      <xdr:row>35</xdr:row>
      <xdr:rowOff>65808</xdr:rowOff>
    </xdr:to>
    <xdr:sp macro="" textlink="">
      <xdr:nvSpPr>
        <xdr:cNvPr id="37" name="Rectangle: Rounded Corners 36">
          <a:extLst>
            <a:ext uri="{FF2B5EF4-FFF2-40B4-BE49-F238E27FC236}">
              <a16:creationId xmlns:a16="http://schemas.microsoft.com/office/drawing/2014/main" id="{BBE55F8D-1694-26F9-A84C-B6557D468282}"/>
            </a:ext>
          </a:extLst>
        </xdr:cNvPr>
        <xdr:cNvSpPr/>
      </xdr:nvSpPr>
      <xdr:spPr>
        <a:xfrm>
          <a:off x="2504787" y="4886036"/>
          <a:ext cx="2972954" cy="1948295"/>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166833</xdr:colOff>
      <xdr:row>14</xdr:row>
      <xdr:rowOff>4372</xdr:rowOff>
    </xdr:from>
    <xdr:to>
      <xdr:col>14</xdr:col>
      <xdr:colOff>109105</xdr:colOff>
      <xdr:row>24</xdr:row>
      <xdr:rowOff>76530</xdr:rowOff>
    </xdr:to>
    <xdr:sp macro="" textlink="">
      <xdr:nvSpPr>
        <xdr:cNvPr id="38" name="Rectangle: Rounded Corners 37">
          <a:extLst>
            <a:ext uri="{FF2B5EF4-FFF2-40B4-BE49-F238E27FC236}">
              <a16:creationId xmlns:a16="http://schemas.microsoft.com/office/drawing/2014/main" id="{5E84654D-13A8-4906-7522-9FF3B0ACC9C9}"/>
            </a:ext>
          </a:extLst>
        </xdr:cNvPr>
        <xdr:cNvSpPr/>
      </xdr:nvSpPr>
      <xdr:spPr>
        <a:xfrm>
          <a:off x="5636904" y="2753015"/>
          <a:ext cx="2981201" cy="1886444"/>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160483</xdr:colOff>
      <xdr:row>25</xdr:row>
      <xdr:rowOff>17814</xdr:rowOff>
    </xdr:from>
    <xdr:to>
      <xdr:col>14</xdr:col>
      <xdr:colOff>102755</xdr:colOff>
      <xdr:row>35</xdr:row>
      <xdr:rowOff>89972</xdr:rowOff>
    </xdr:to>
    <xdr:sp macro="" textlink="">
      <xdr:nvSpPr>
        <xdr:cNvPr id="39" name="Rectangle: Rounded Corners 38">
          <a:extLst>
            <a:ext uri="{FF2B5EF4-FFF2-40B4-BE49-F238E27FC236}">
              <a16:creationId xmlns:a16="http://schemas.microsoft.com/office/drawing/2014/main" id="{C59CFFEC-57FD-E040-DC2D-F1DAD6875681}"/>
            </a:ext>
          </a:extLst>
        </xdr:cNvPr>
        <xdr:cNvSpPr/>
      </xdr:nvSpPr>
      <xdr:spPr>
        <a:xfrm>
          <a:off x="5630554" y="4762171"/>
          <a:ext cx="2981201" cy="1886444"/>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181441</xdr:colOff>
      <xdr:row>14</xdr:row>
      <xdr:rowOff>72572</xdr:rowOff>
    </xdr:from>
    <xdr:to>
      <xdr:col>14</xdr:col>
      <xdr:colOff>63512</xdr:colOff>
      <xdr:row>23</xdr:row>
      <xdr:rowOff>172358</xdr:rowOff>
    </xdr:to>
    <xdr:graphicFrame macro="">
      <xdr:nvGraphicFramePr>
        <xdr:cNvPr id="49" name="Chart 48">
          <a:extLst>
            <a:ext uri="{FF2B5EF4-FFF2-40B4-BE49-F238E27FC236}">
              <a16:creationId xmlns:a16="http://schemas.microsoft.com/office/drawing/2014/main" id="{B48DB89F-B2CE-4367-AAA7-47D6B796B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208641</xdr:colOff>
      <xdr:row>25</xdr:row>
      <xdr:rowOff>81644</xdr:rowOff>
    </xdr:from>
    <xdr:to>
      <xdr:col>14</xdr:col>
      <xdr:colOff>54428</xdr:colOff>
      <xdr:row>35</xdr:row>
      <xdr:rowOff>45358</xdr:rowOff>
    </xdr:to>
    <xdr:graphicFrame macro="">
      <xdr:nvGraphicFramePr>
        <xdr:cNvPr id="53" name="Chart 52">
          <a:extLst>
            <a:ext uri="{FF2B5EF4-FFF2-40B4-BE49-F238E27FC236}">
              <a16:creationId xmlns:a16="http://schemas.microsoft.com/office/drawing/2014/main" id="{1C0381FF-4963-4912-84FF-8546F728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154214</xdr:colOff>
      <xdr:row>25</xdr:row>
      <xdr:rowOff>18142</xdr:rowOff>
    </xdr:from>
    <xdr:to>
      <xdr:col>8</xdr:col>
      <xdr:colOff>535212</xdr:colOff>
      <xdr:row>35</xdr:row>
      <xdr:rowOff>45356</xdr:rowOff>
    </xdr:to>
    <xdr:graphicFrame macro="">
      <xdr:nvGraphicFramePr>
        <xdr:cNvPr id="55" name="Chart 54">
          <a:extLst>
            <a:ext uri="{FF2B5EF4-FFF2-40B4-BE49-F238E27FC236}">
              <a16:creationId xmlns:a16="http://schemas.microsoft.com/office/drawing/2014/main" id="{4BD0C32C-09E4-45EC-A217-B93342E68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199572</xdr:colOff>
      <xdr:row>25</xdr:row>
      <xdr:rowOff>4</xdr:rowOff>
    </xdr:from>
    <xdr:to>
      <xdr:col>17</xdr:col>
      <xdr:colOff>205015</xdr:colOff>
      <xdr:row>35</xdr:row>
      <xdr:rowOff>117932</xdr:rowOff>
    </xdr:to>
    <mc:AlternateContent xmlns:mc="http://schemas.openxmlformats.org/markup-compatibility/2006" xmlns:a14="http://schemas.microsoft.com/office/drawing/2010/main">
      <mc:Choice Requires="a14">
        <xdr:graphicFrame macro="">
          <xdr:nvGraphicFramePr>
            <xdr:cNvPr id="63" name="Dept Code 1">
              <a:extLst>
                <a:ext uri="{FF2B5EF4-FFF2-40B4-BE49-F238E27FC236}">
                  <a16:creationId xmlns:a16="http://schemas.microsoft.com/office/drawing/2014/main" id="{42143C22-68CE-4AE2-906F-D43358B4BB0B}"/>
                </a:ext>
              </a:extLst>
            </xdr:cNvPr>
            <xdr:cNvGraphicFramePr/>
          </xdr:nvGraphicFramePr>
          <xdr:xfrm>
            <a:off x="0" y="0"/>
            <a:ext cx="0" cy="0"/>
          </xdr:xfrm>
          <a:graphic>
            <a:graphicData uri="http://schemas.microsoft.com/office/drawing/2010/slicer">
              <sle:slicer xmlns:sle="http://schemas.microsoft.com/office/drawing/2010/slicer" name="Dept Code 1"/>
            </a:graphicData>
          </a:graphic>
        </xdr:graphicFrame>
      </mc:Choice>
      <mc:Fallback xmlns="">
        <xdr:sp macro="" textlink="">
          <xdr:nvSpPr>
            <xdr:cNvPr id="0" name=""/>
            <xdr:cNvSpPr>
              <a:spLocks noTextEdit="1"/>
            </xdr:cNvSpPr>
          </xdr:nvSpPr>
          <xdr:spPr>
            <a:xfrm>
              <a:off x="8708572" y="4744361"/>
              <a:ext cx="1828800" cy="193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276675</xdr:colOff>
      <xdr:row>13</xdr:row>
      <xdr:rowOff>122464</xdr:rowOff>
    </xdr:from>
    <xdr:to>
      <xdr:col>20</xdr:col>
      <xdr:colOff>72568</xdr:colOff>
      <xdr:row>26</xdr:row>
      <xdr:rowOff>36285</xdr:rowOff>
    </xdr:to>
    <mc:AlternateContent xmlns:mc="http://schemas.openxmlformats.org/markup-compatibility/2006" xmlns:a14="http://schemas.microsoft.com/office/drawing/2010/main">
      <mc:Choice Requires="a14">
        <xdr:graphicFrame macro="">
          <xdr:nvGraphicFramePr>
            <xdr:cNvPr id="64" name="Performance Score 1">
              <a:extLst>
                <a:ext uri="{FF2B5EF4-FFF2-40B4-BE49-F238E27FC236}">
                  <a16:creationId xmlns:a16="http://schemas.microsoft.com/office/drawing/2014/main" id="{08F5F489-37E7-4061-A0D8-DAB7F75A8AF6}"/>
                </a:ext>
              </a:extLst>
            </xdr:cNvPr>
            <xdr:cNvGraphicFramePr/>
          </xdr:nvGraphicFramePr>
          <xdr:xfrm>
            <a:off x="0" y="0"/>
            <a:ext cx="0" cy="0"/>
          </xdr:xfrm>
          <a:graphic>
            <a:graphicData uri="http://schemas.microsoft.com/office/drawing/2010/slicer">
              <sle:slicer xmlns:sle="http://schemas.microsoft.com/office/drawing/2010/slicer" name="Performance Score 1"/>
            </a:graphicData>
          </a:graphic>
        </xdr:graphicFrame>
      </mc:Choice>
      <mc:Fallback xmlns="">
        <xdr:sp macro="" textlink="">
          <xdr:nvSpPr>
            <xdr:cNvPr id="0" name=""/>
            <xdr:cNvSpPr>
              <a:spLocks noTextEdit="1"/>
            </xdr:cNvSpPr>
          </xdr:nvSpPr>
          <xdr:spPr>
            <a:xfrm>
              <a:off x="10609032" y="2689678"/>
              <a:ext cx="1619250" cy="2272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253999</xdr:colOff>
      <xdr:row>5</xdr:row>
      <xdr:rowOff>145143</xdr:rowOff>
    </xdr:from>
    <xdr:to>
      <xdr:col>20</xdr:col>
      <xdr:colOff>45357</xdr:colOff>
      <xdr:row>13</xdr:row>
      <xdr:rowOff>63502</xdr:rowOff>
    </xdr:to>
    <mc:AlternateContent xmlns:mc="http://schemas.openxmlformats.org/markup-compatibility/2006" xmlns:a14="http://schemas.microsoft.com/office/drawing/2010/main">
      <mc:Choice Requires="a14">
        <xdr:graphicFrame macro="">
          <xdr:nvGraphicFramePr>
            <xdr:cNvPr id="65" name="Emplyment Status 1">
              <a:extLst>
                <a:ext uri="{FF2B5EF4-FFF2-40B4-BE49-F238E27FC236}">
                  <a16:creationId xmlns:a16="http://schemas.microsoft.com/office/drawing/2014/main" id="{BD8B857C-93B2-4AFD-AA8A-9E270D30AE31}"/>
                </a:ext>
              </a:extLst>
            </xdr:cNvPr>
            <xdr:cNvGraphicFramePr/>
          </xdr:nvGraphicFramePr>
          <xdr:xfrm>
            <a:off x="0" y="0"/>
            <a:ext cx="0" cy="0"/>
          </xdr:xfrm>
          <a:graphic>
            <a:graphicData uri="http://schemas.microsoft.com/office/drawing/2010/slicer">
              <sle:slicer xmlns:sle="http://schemas.microsoft.com/office/drawing/2010/slicer" name="Emplyment Status 1"/>
            </a:graphicData>
          </a:graphic>
        </xdr:graphicFrame>
      </mc:Choice>
      <mc:Fallback xmlns="">
        <xdr:sp macro="" textlink="">
          <xdr:nvSpPr>
            <xdr:cNvPr id="0" name=""/>
            <xdr:cNvSpPr>
              <a:spLocks noTextEdit="1"/>
            </xdr:cNvSpPr>
          </xdr:nvSpPr>
          <xdr:spPr>
            <a:xfrm>
              <a:off x="10586356" y="1260929"/>
              <a:ext cx="1614715" cy="1369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204107</xdr:colOff>
      <xdr:row>13</xdr:row>
      <xdr:rowOff>131536</xdr:rowOff>
    </xdr:from>
    <xdr:to>
      <xdr:col>17</xdr:col>
      <xdr:colOff>209550</xdr:colOff>
      <xdr:row>24</xdr:row>
      <xdr:rowOff>81642</xdr:rowOff>
    </xdr:to>
    <mc:AlternateContent xmlns:mc="http://schemas.openxmlformats.org/markup-compatibility/2006" xmlns:a14="http://schemas.microsoft.com/office/drawing/2010/main">
      <mc:Choice Requires="a14">
        <xdr:graphicFrame macro="">
          <xdr:nvGraphicFramePr>
            <xdr:cNvPr id="66" name="Department Name 1">
              <a:extLst>
                <a:ext uri="{FF2B5EF4-FFF2-40B4-BE49-F238E27FC236}">
                  <a16:creationId xmlns:a16="http://schemas.microsoft.com/office/drawing/2014/main" id="{BB1998ED-C86D-4521-96EB-0E8054FE0B3B}"/>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8713107" y="2698750"/>
              <a:ext cx="1828800" cy="19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272143</xdr:colOff>
      <xdr:row>26</xdr:row>
      <xdr:rowOff>99786</xdr:rowOff>
    </xdr:from>
    <xdr:to>
      <xdr:col>20</xdr:col>
      <xdr:colOff>54429</xdr:colOff>
      <xdr:row>35</xdr:row>
      <xdr:rowOff>136071</xdr:rowOff>
    </xdr:to>
    <mc:AlternateContent xmlns:mc="http://schemas.openxmlformats.org/markup-compatibility/2006" xmlns:a14="http://schemas.microsoft.com/office/drawing/2010/main">
      <mc:Choice Requires="a14">
        <xdr:graphicFrame macro="">
          <xdr:nvGraphicFramePr>
            <xdr:cNvPr id="67" name="Performance Band 1">
              <a:extLst>
                <a:ext uri="{FF2B5EF4-FFF2-40B4-BE49-F238E27FC236}">
                  <a16:creationId xmlns:a16="http://schemas.microsoft.com/office/drawing/2014/main" id="{24794811-F6C5-44C1-945B-629558FD0183}"/>
                </a:ext>
              </a:extLst>
            </xdr:cNvPr>
            <xdr:cNvGraphicFramePr/>
          </xdr:nvGraphicFramePr>
          <xdr:xfrm>
            <a:off x="0" y="0"/>
            <a:ext cx="0" cy="0"/>
          </xdr:xfrm>
          <a:graphic>
            <a:graphicData uri="http://schemas.microsoft.com/office/drawing/2010/slicer">
              <sle:slicer xmlns:sle="http://schemas.microsoft.com/office/drawing/2010/slicer" name="Performance Band 1"/>
            </a:graphicData>
          </a:graphic>
        </xdr:graphicFrame>
      </mc:Choice>
      <mc:Fallback xmlns="">
        <xdr:sp macro="" textlink="">
          <xdr:nvSpPr>
            <xdr:cNvPr id="0" name=""/>
            <xdr:cNvSpPr>
              <a:spLocks noTextEdit="1"/>
            </xdr:cNvSpPr>
          </xdr:nvSpPr>
          <xdr:spPr>
            <a:xfrm>
              <a:off x="10604500" y="5025572"/>
              <a:ext cx="1605643" cy="1669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212764</xdr:colOff>
      <xdr:row>3</xdr:row>
      <xdr:rowOff>160811</xdr:rowOff>
    </xdr:from>
    <xdr:to>
      <xdr:col>6</xdr:col>
      <xdr:colOff>568365</xdr:colOff>
      <xdr:row>9</xdr:row>
      <xdr:rowOff>35626</xdr:rowOff>
    </xdr:to>
    <xdr:pic>
      <xdr:nvPicPr>
        <xdr:cNvPr id="3" name="Picture 2">
          <a:extLst>
            <a:ext uri="{FF2B5EF4-FFF2-40B4-BE49-F238E27FC236}">
              <a16:creationId xmlns:a16="http://schemas.microsoft.com/office/drawing/2014/main" id="{66ED30C4-38CE-4166-B436-598EB5172CC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3251693" y="913740"/>
          <a:ext cx="963386" cy="963386"/>
        </a:xfrm>
        <a:prstGeom prst="rect">
          <a:avLst/>
        </a:prstGeom>
        <a:ln>
          <a:noFill/>
        </a:ln>
        <a:effectLst>
          <a:softEdge rad="112500"/>
        </a:effectLst>
      </xdr:spPr>
    </xdr:pic>
    <xdr:clientData/>
  </xdr:twoCellAnchor>
  <xdr:twoCellAnchor editAs="oneCell">
    <xdr:from>
      <xdr:col>9</xdr:col>
      <xdr:colOff>505527</xdr:colOff>
      <xdr:row>4</xdr:row>
      <xdr:rowOff>106384</xdr:rowOff>
    </xdr:from>
    <xdr:to>
      <xdr:col>11</xdr:col>
      <xdr:colOff>18765</xdr:colOff>
      <xdr:row>8</xdr:row>
      <xdr:rowOff>102820</xdr:rowOff>
    </xdr:to>
    <xdr:pic>
      <xdr:nvPicPr>
        <xdr:cNvPr id="8" name="Picture 7">
          <a:extLst>
            <a:ext uri="{FF2B5EF4-FFF2-40B4-BE49-F238E27FC236}">
              <a16:creationId xmlns:a16="http://schemas.microsoft.com/office/drawing/2014/main" id="{313BA9EB-157A-4B82-89B3-76C19B4F828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5975598" y="1040741"/>
          <a:ext cx="728810" cy="722150"/>
        </a:xfrm>
        <a:prstGeom prst="rect">
          <a:avLst/>
        </a:prstGeom>
        <a:ln>
          <a:noFill/>
        </a:ln>
        <a:effectLst>
          <a:softEdge rad="112500"/>
        </a:effectLst>
      </xdr:spPr>
    </xdr:pic>
    <xdr:clientData/>
  </xdr:twoCellAnchor>
  <xdr:twoCellAnchor editAs="oneCell">
    <xdr:from>
      <xdr:col>13</xdr:col>
      <xdr:colOff>115455</xdr:colOff>
      <xdr:row>4</xdr:row>
      <xdr:rowOff>6598</xdr:rowOff>
    </xdr:from>
    <xdr:to>
      <xdr:col>14</xdr:col>
      <xdr:colOff>389697</xdr:colOff>
      <xdr:row>8</xdr:row>
      <xdr:rowOff>179987</xdr:rowOff>
    </xdr:to>
    <xdr:pic>
      <xdr:nvPicPr>
        <xdr:cNvPr id="12" name="Picture 11">
          <a:extLst>
            <a:ext uri="{FF2B5EF4-FFF2-40B4-BE49-F238E27FC236}">
              <a16:creationId xmlns:a16="http://schemas.microsoft.com/office/drawing/2014/main" id="{B5B0DF50-6195-4D8E-954C-0E60218190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8016669" y="940955"/>
          <a:ext cx="882028" cy="899103"/>
        </a:xfrm>
        <a:prstGeom prst="rect">
          <a:avLst/>
        </a:prstGeom>
        <a:ln>
          <a:noFill/>
        </a:ln>
        <a:effectLst>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124526</xdr:colOff>
      <xdr:row>4</xdr:row>
      <xdr:rowOff>115455</xdr:rowOff>
    </xdr:from>
    <xdr:to>
      <xdr:col>20</xdr:col>
      <xdr:colOff>163286</xdr:colOff>
      <xdr:row>36</xdr:row>
      <xdr:rowOff>172359</xdr:rowOff>
    </xdr:to>
    <xdr:sp macro="" textlink="">
      <xdr:nvSpPr>
        <xdr:cNvPr id="2" name="Rectangle: Rounded Corners 1">
          <a:extLst>
            <a:ext uri="{FF2B5EF4-FFF2-40B4-BE49-F238E27FC236}">
              <a16:creationId xmlns:a16="http://schemas.microsoft.com/office/drawing/2014/main" id="{37337803-2279-4DBA-BF3A-AD0CC0B985E5}"/>
            </a:ext>
          </a:extLst>
        </xdr:cNvPr>
        <xdr:cNvSpPr/>
      </xdr:nvSpPr>
      <xdr:spPr>
        <a:xfrm>
          <a:off x="124526" y="1055255"/>
          <a:ext cx="12230760" cy="5949704"/>
        </a:xfrm>
        <a:prstGeom prst="roundRect">
          <a:avLst>
            <a:gd name="adj" fmla="val 2920"/>
          </a:avLst>
        </a:prstGeom>
        <a:solidFill>
          <a:schemeClr val="accent5">
            <a:lumMod val="20000"/>
            <a:lumOff val="80000"/>
          </a:schemeClr>
        </a:solidFill>
        <a:ln>
          <a:noFill/>
        </a:ln>
        <a:effectLst>
          <a:outerShdw blurRad="40000" dist="20000" dir="5400000" rotWithShape="0">
            <a:srgbClr val="000000">
              <a:alpha val="38000"/>
            </a:srgbClr>
          </a:outerShdw>
          <a:softEdge rad="63500"/>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217057</xdr:colOff>
      <xdr:row>5</xdr:row>
      <xdr:rowOff>57727</xdr:rowOff>
    </xdr:from>
    <xdr:to>
      <xdr:col>3</xdr:col>
      <xdr:colOff>548409</xdr:colOff>
      <xdr:row>36</xdr:row>
      <xdr:rowOff>90715</xdr:rowOff>
    </xdr:to>
    <xdr:sp macro="" textlink="">
      <xdr:nvSpPr>
        <xdr:cNvPr id="3" name="Rectangle: Rounded Corners 2">
          <a:extLst>
            <a:ext uri="{FF2B5EF4-FFF2-40B4-BE49-F238E27FC236}">
              <a16:creationId xmlns:a16="http://schemas.microsoft.com/office/drawing/2014/main" id="{A7370D11-9F6D-4602-9ACD-EB207AE51321}"/>
            </a:ext>
          </a:extLst>
        </xdr:cNvPr>
        <xdr:cNvSpPr/>
      </xdr:nvSpPr>
      <xdr:spPr>
        <a:xfrm>
          <a:off x="217057" y="1181677"/>
          <a:ext cx="2160152" cy="5741638"/>
        </a:xfrm>
        <a:prstGeom prst="roundRect">
          <a:avLst>
            <a:gd name="adj" fmla="val 9356"/>
          </a:avLst>
        </a:prstGeom>
        <a:solidFill>
          <a:schemeClr val="accent5">
            <a:lumMod val="50000"/>
          </a:schemeClr>
        </a:solidFill>
        <a:ln>
          <a:solidFill>
            <a:schemeClr val="accent5">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134509</xdr:colOff>
      <xdr:row>6</xdr:row>
      <xdr:rowOff>123700</xdr:rowOff>
    </xdr:from>
    <xdr:to>
      <xdr:col>8</xdr:col>
      <xdr:colOff>72572</xdr:colOff>
      <xdr:row>12</xdr:row>
      <xdr:rowOff>59952</xdr:rowOff>
    </xdr:to>
    <xdr:sp macro="" textlink="">
      <xdr:nvSpPr>
        <xdr:cNvPr id="4" name="Rectangle: Rounded Corners 3">
          <a:extLst>
            <a:ext uri="{FF2B5EF4-FFF2-40B4-BE49-F238E27FC236}">
              <a16:creationId xmlns:a16="http://schemas.microsoft.com/office/drawing/2014/main" id="{3C783DA2-1F31-4B3A-8029-099EC78F6163}"/>
            </a:ext>
          </a:extLst>
        </xdr:cNvPr>
        <xdr:cNvSpPr/>
      </xdr:nvSpPr>
      <xdr:spPr>
        <a:xfrm>
          <a:off x="2572909" y="1431800"/>
          <a:ext cx="2376463" cy="1041152"/>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230908</xdr:colOff>
      <xdr:row>1</xdr:row>
      <xdr:rowOff>115454</xdr:rowOff>
    </xdr:from>
    <xdr:to>
      <xdr:col>20</xdr:col>
      <xdr:colOff>36285</xdr:colOff>
      <xdr:row>4</xdr:row>
      <xdr:rowOff>57727</xdr:rowOff>
    </xdr:to>
    <xdr:sp macro="" textlink="">
      <xdr:nvSpPr>
        <xdr:cNvPr id="5" name="Rectangle 4">
          <a:extLst>
            <a:ext uri="{FF2B5EF4-FFF2-40B4-BE49-F238E27FC236}">
              <a16:creationId xmlns:a16="http://schemas.microsoft.com/office/drawing/2014/main" id="{27BCF4C6-26F2-4143-82DF-09FB0431D583}"/>
            </a:ext>
          </a:extLst>
        </xdr:cNvPr>
        <xdr:cNvSpPr/>
      </xdr:nvSpPr>
      <xdr:spPr>
        <a:xfrm>
          <a:off x="230908" y="299604"/>
          <a:ext cx="11997377" cy="697923"/>
        </a:xfrm>
        <a:prstGeom prst="rect">
          <a:avLst/>
        </a:prstGeom>
        <a:solidFill>
          <a:schemeClr val="accent5">
            <a:lumMod val="50000"/>
          </a:schemeClr>
        </a:solidFill>
        <a:ln>
          <a:solidFill>
            <a:schemeClr val="accent5">
              <a:lumMod val="5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800">
              <a:solidFill>
                <a:schemeClr val="bg1"/>
              </a:solidFill>
              <a:latin typeface="Arial Black" panose="020B0A04020102020204" pitchFamily="34" charset="0"/>
            </a:rPr>
            <a:t>HR ANALYTICS DASHBOARD</a:t>
          </a:r>
        </a:p>
      </xdr:txBody>
    </xdr:sp>
    <xdr:clientData/>
  </xdr:twoCellAnchor>
  <xdr:twoCellAnchor>
    <xdr:from>
      <xdr:col>4</xdr:col>
      <xdr:colOff>303069</xdr:colOff>
      <xdr:row>8</xdr:row>
      <xdr:rowOff>2</xdr:rowOff>
    </xdr:from>
    <xdr:to>
      <xdr:col>7</xdr:col>
      <xdr:colOff>493197</xdr:colOff>
      <xdr:row>9</xdr:row>
      <xdr:rowOff>128560</xdr:rowOff>
    </xdr:to>
    <xdr:sp macro="" textlink="">
      <xdr:nvSpPr>
        <xdr:cNvPr id="6" name="Rectangle: Rounded Corners 5">
          <a:extLst>
            <a:ext uri="{FF2B5EF4-FFF2-40B4-BE49-F238E27FC236}">
              <a16:creationId xmlns:a16="http://schemas.microsoft.com/office/drawing/2014/main" id="{53CAF5D1-05A7-4F88-A257-98E4E8D239B3}"/>
            </a:ext>
          </a:extLst>
        </xdr:cNvPr>
        <xdr:cNvSpPr/>
      </xdr:nvSpPr>
      <xdr:spPr>
        <a:xfrm>
          <a:off x="2741469" y="1676402"/>
          <a:ext cx="2018928" cy="312708"/>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Total</a:t>
          </a:r>
          <a:r>
            <a:rPr lang="en-US" sz="1400" baseline="0">
              <a:solidFill>
                <a:schemeClr val="accent5">
                  <a:lumMod val="50000"/>
                </a:schemeClr>
              </a:solidFill>
              <a:latin typeface="Arial Black" panose="020B0A04020102020204" pitchFamily="34" charset="0"/>
            </a:rPr>
            <a:t> Employees</a:t>
          </a:r>
          <a:endParaRPr lang="en-US" sz="1400">
            <a:solidFill>
              <a:schemeClr val="accent5">
                <a:lumMod val="50000"/>
              </a:schemeClr>
            </a:solidFill>
            <a:latin typeface="Arial Black" panose="020B0A04020102020204" pitchFamily="34" charset="0"/>
          </a:endParaRPr>
        </a:p>
      </xdr:txBody>
    </xdr:sp>
    <xdr:clientData/>
  </xdr:twoCellAnchor>
  <xdr:twoCellAnchor>
    <xdr:from>
      <xdr:col>4</xdr:col>
      <xdr:colOff>447387</xdr:colOff>
      <xdr:row>9</xdr:row>
      <xdr:rowOff>163286</xdr:rowOff>
    </xdr:from>
    <xdr:to>
      <xdr:col>7</xdr:col>
      <xdr:colOff>250149</xdr:colOff>
      <xdr:row>11</xdr:row>
      <xdr:rowOff>117929</xdr:rowOff>
    </xdr:to>
    <xdr:sp macro="" textlink="Analysis!B12">
      <xdr:nvSpPr>
        <xdr:cNvPr id="7" name="Rectangle 6">
          <a:extLst>
            <a:ext uri="{FF2B5EF4-FFF2-40B4-BE49-F238E27FC236}">
              <a16:creationId xmlns:a16="http://schemas.microsoft.com/office/drawing/2014/main" id="{110DFEA9-3CE0-4FA6-8AFC-A84144F787E7}"/>
            </a:ext>
          </a:extLst>
        </xdr:cNvPr>
        <xdr:cNvSpPr/>
      </xdr:nvSpPr>
      <xdr:spPr>
        <a:xfrm>
          <a:off x="2885787" y="2023836"/>
          <a:ext cx="1631562" cy="322943"/>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C3BD07-47E4-4893-9F58-DE9FFB16273A}" type="TxLink">
            <a:rPr lang="en-US" sz="1600" b="0" i="0" u="none" strike="noStrike">
              <a:solidFill>
                <a:schemeClr val="accent5">
                  <a:lumMod val="50000"/>
                </a:schemeClr>
              </a:solidFill>
              <a:latin typeface="Arial Black" panose="020B0A04020102020204" pitchFamily="34" charset="0"/>
              <a:cs typeface="Calibri"/>
            </a:rPr>
            <a:pPr algn="ctr"/>
            <a:t>28</a:t>
          </a:fld>
          <a:endParaRPr lang="en-US" sz="1600">
            <a:solidFill>
              <a:schemeClr val="accent5">
                <a:lumMod val="50000"/>
              </a:schemeClr>
            </a:solidFill>
            <a:latin typeface="Arial Black" panose="020B0A04020102020204" pitchFamily="34" charset="0"/>
          </a:endParaRPr>
        </a:p>
      </xdr:txBody>
    </xdr:sp>
    <xdr:clientData/>
  </xdr:twoCellAnchor>
  <xdr:twoCellAnchor>
    <xdr:from>
      <xdr:col>8</xdr:col>
      <xdr:colOff>276184</xdr:colOff>
      <xdr:row>6</xdr:row>
      <xdr:rowOff>163286</xdr:rowOff>
    </xdr:from>
    <xdr:to>
      <xdr:col>12</xdr:col>
      <xdr:colOff>145142</xdr:colOff>
      <xdr:row>12</xdr:row>
      <xdr:rowOff>54428</xdr:rowOff>
    </xdr:to>
    <xdr:sp macro="" textlink="">
      <xdr:nvSpPr>
        <xdr:cNvPr id="8" name="Rectangle: Rounded Corners 7">
          <a:extLst>
            <a:ext uri="{FF2B5EF4-FFF2-40B4-BE49-F238E27FC236}">
              <a16:creationId xmlns:a16="http://schemas.microsoft.com/office/drawing/2014/main" id="{1F425DC7-ADEA-4E99-96ED-502DDB3105E0}"/>
            </a:ext>
          </a:extLst>
        </xdr:cNvPr>
        <xdr:cNvSpPr/>
      </xdr:nvSpPr>
      <xdr:spPr>
        <a:xfrm>
          <a:off x="5176890" y="1485580"/>
          <a:ext cx="2319311" cy="1011730"/>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8</xdr:col>
      <xdr:colOff>444746</xdr:colOff>
      <xdr:row>7</xdr:row>
      <xdr:rowOff>176728</xdr:rowOff>
    </xdr:from>
    <xdr:to>
      <xdr:col>11</xdr:col>
      <xdr:colOff>577737</xdr:colOff>
      <xdr:row>9</xdr:row>
      <xdr:rowOff>123610</xdr:rowOff>
    </xdr:to>
    <xdr:sp macro="" textlink="">
      <xdr:nvSpPr>
        <xdr:cNvPr id="9" name="Rectangle: Rounded Corners 8">
          <a:extLst>
            <a:ext uri="{FF2B5EF4-FFF2-40B4-BE49-F238E27FC236}">
              <a16:creationId xmlns:a16="http://schemas.microsoft.com/office/drawing/2014/main" id="{F578D1D4-6584-4325-AB01-E820782B1B40}"/>
            </a:ext>
          </a:extLst>
        </xdr:cNvPr>
        <xdr:cNvSpPr/>
      </xdr:nvSpPr>
      <xdr:spPr>
        <a:xfrm>
          <a:off x="5321546" y="1668978"/>
          <a:ext cx="1961791" cy="315182"/>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Average</a:t>
          </a:r>
          <a:r>
            <a:rPr lang="en-US" sz="1400" baseline="0">
              <a:solidFill>
                <a:schemeClr val="accent5">
                  <a:lumMod val="50000"/>
                </a:schemeClr>
              </a:solidFill>
              <a:latin typeface="Arial Black" panose="020B0A04020102020204" pitchFamily="34" charset="0"/>
            </a:rPr>
            <a:t> Salary</a:t>
          </a:r>
          <a:endParaRPr lang="en-US" sz="1400">
            <a:solidFill>
              <a:schemeClr val="accent5">
                <a:lumMod val="50000"/>
              </a:schemeClr>
            </a:solidFill>
            <a:latin typeface="Arial Black" panose="020B0A04020102020204" pitchFamily="34" charset="0"/>
          </a:endParaRPr>
        </a:p>
      </xdr:txBody>
    </xdr:sp>
    <xdr:clientData/>
  </xdr:twoCellAnchor>
  <xdr:twoCellAnchor>
    <xdr:from>
      <xdr:col>8</xdr:col>
      <xdr:colOff>589063</xdr:colOff>
      <xdr:row>10</xdr:row>
      <xdr:rowOff>7668</xdr:rowOff>
    </xdr:from>
    <xdr:to>
      <xdr:col>11</xdr:col>
      <xdr:colOff>344395</xdr:colOff>
      <xdr:row>11</xdr:row>
      <xdr:rowOff>136072</xdr:rowOff>
    </xdr:to>
    <xdr:sp macro="" textlink="Analysis!J24">
      <xdr:nvSpPr>
        <xdr:cNvPr id="10" name="Rectangle 9">
          <a:extLst>
            <a:ext uri="{FF2B5EF4-FFF2-40B4-BE49-F238E27FC236}">
              <a16:creationId xmlns:a16="http://schemas.microsoft.com/office/drawing/2014/main" id="{AEAB84FA-54F3-4903-B4EB-F7945D7BEA71}"/>
            </a:ext>
          </a:extLst>
        </xdr:cNvPr>
        <xdr:cNvSpPr/>
      </xdr:nvSpPr>
      <xdr:spPr>
        <a:xfrm>
          <a:off x="5465863" y="2052368"/>
          <a:ext cx="1584132" cy="312554"/>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3D9C37-948C-441A-85E3-93F0CF2B1C00}" type="TxLink">
            <a:rPr lang="en-US" sz="1600" b="0" i="0" u="none" strike="noStrike">
              <a:solidFill>
                <a:schemeClr val="accent5">
                  <a:lumMod val="50000"/>
                </a:schemeClr>
              </a:solidFill>
              <a:latin typeface="Arial Black" panose="020B0A04020102020204" pitchFamily="34" charset="0"/>
              <a:cs typeface="Calibri"/>
            </a:rPr>
            <a:pPr algn="ctr"/>
            <a:t>$12,522,779.60</a:t>
          </a:fld>
          <a:endParaRPr lang="en-US" sz="1600">
            <a:solidFill>
              <a:schemeClr val="accent5">
                <a:lumMod val="50000"/>
              </a:schemeClr>
            </a:solidFill>
            <a:latin typeface="Arial Black" panose="020B0A04020102020204" pitchFamily="34" charset="0"/>
          </a:endParaRPr>
        </a:p>
      </xdr:txBody>
    </xdr:sp>
    <xdr:clientData/>
  </xdr:twoCellAnchor>
  <xdr:twoCellAnchor>
    <xdr:from>
      <xdr:col>12</xdr:col>
      <xdr:colOff>301586</xdr:colOff>
      <xdr:row>7</xdr:row>
      <xdr:rowOff>1730</xdr:rowOff>
    </xdr:from>
    <xdr:to>
      <xdr:col>16</xdr:col>
      <xdr:colOff>111583</xdr:colOff>
      <xdr:row>12</xdr:row>
      <xdr:rowOff>62921</xdr:rowOff>
    </xdr:to>
    <xdr:sp macro="" textlink="">
      <xdr:nvSpPr>
        <xdr:cNvPr id="11" name="Rectangle: Rounded Corners 10">
          <a:extLst>
            <a:ext uri="{FF2B5EF4-FFF2-40B4-BE49-F238E27FC236}">
              <a16:creationId xmlns:a16="http://schemas.microsoft.com/office/drawing/2014/main" id="{134C58F9-03E3-4D0D-91DD-8B21FA84650B}"/>
            </a:ext>
          </a:extLst>
        </xdr:cNvPr>
        <xdr:cNvSpPr/>
      </xdr:nvSpPr>
      <xdr:spPr>
        <a:xfrm>
          <a:off x="7616786" y="1493980"/>
          <a:ext cx="2248397" cy="981941"/>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12</xdr:col>
      <xdr:colOff>280802</xdr:colOff>
      <xdr:row>8</xdr:row>
      <xdr:rowOff>28864</xdr:rowOff>
    </xdr:from>
    <xdr:to>
      <xdr:col>16</xdr:col>
      <xdr:colOff>54429</xdr:colOff>
      <xdr:row>9</xdr:row>
      <xdr:rowOff>117929</xdr:rowOff>
    </xdr:to>
    <xdr:sp macro="" textlink="">
      <xdr:nvSpPr>
        <xdr:cNvPr id="12" name="Rectangle: Rounded Corners 11">
          <a:extLst>
            <a:ext uri="{FF2B5EF4-FFF2-40B4-BE49-F238E27FC236}">
              <a16:creationId xmlns:a16="http://schemas.microsoft.com/office/drawing/2014/main" id="{37033B29-EA3F-44AA-91FB-264321BFBDD4}"/>
            </a:ext>
          </a:extLst>
        </xdr:cNvPr>
        <xdr:cNvSpPr/>
      </xdr:nvSpPr>
      <xdr:spPr>
        <a:xfrm>
          <a:off x="7596002" y="1705264"/>
          <a:ext cx="2212027" cy="273215"/>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accent5">
                  <a:lumMod val="50000"/>
                </a:schemeClr>
              </a:solidFill>
              <a:latin typeface="Arial Black" panose="020B0A04020102020204" pitchFamily="34" charset="0"/>
            </a:rPr>
            <a:t>Overall</a:t>
          </a:r>
          <a:r>
            <a:rPr lang="en-US" sz="1300" baseline="0">
              <a:solidFill>
                <a:schemeClr val="accent5">
                  <a:lumMod val="50000"/>
                </a:schemeClr>
              </a:solidFill>
              <a:latin typeface="Arial Black" panose="020B0A04020102020204" pitchFamily="34" charset="0"/>
            </a:rPr>
            <a:t> Attrition Rate</a:t>
          </a:r>
          <a:endParaRPr lang="en-US" sz="1300">
            <a:solidFill>
              <a:schemeClr val="accent5">
                <a:lumMod val="50000"/>
              </a:schemeClr>
            </a:solidFill>
            <a:latin typeface="Arial Black" panose="020B0A04020102020204" pitchFamily="34" charset="0"/>
          </a:endParaRPr>
        </a:p>
      </xdr:txBody>
    </xdr:sp>
    <xdr:clientData/>
  </xdr:twoCellAnchor>
  <xdr:twoCellAnchor>
    <xdr:from>
      <xdr:col>13</xdr:col>
      <xdr:colOff>8329</xdr:colOff>
      <xdr:row>10</xdr:row>
      <xdr:rowOff>57726</xdr:rowOff>
    </xdr:from>
    <xdr:to>
      <xdr:col>15</xdr:col>
      <xdr:colOff>329427</xdr:colOff>
      <xdr:row>11</xdr:row>
      <xdr:rowOff>169199</xdr:rowOff>
    </xdr:to>
    <xdr:sp macro="" textlink="Analysis!G25">
      <xdr:nvSpPr>
        <xdr:cNvPr id="13" name="Rectangle 12">
          <a:extLst>
            <a:ext uri="{FF2B5EF4-FFF2-40B4-BE49-F238E27FC236}">
              <a16:creationId xmlns:a16="http://schemas.microsoft.com/office/drawing/2014/main" id="{C1D8E1DF-2661-4A92-9972-83195D5895A4}"/>
            </a:ext>
          </a:extLst>
        </xdr:cNvPr>
        <xdr:cNvSpPr/>
      </xdr:nvSpPr>
      <xdr:spPr>
        <a:xfrm>
          <a:off x="7933129" y="2102426"/>
          <a:ext cx="1540298" cy="295623"/>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9F11A0-30B6-4C19-8003-6F8C912CEF38}" type="TxLink">
            <a:rPr lang="en-US" sz="1600" b="0" i="0" u="none" strike="noStrike">
              <a:solidFill>
                <a:schemeClr val="accent5">
                  <a:lumMod val="50000"/>
                </a:schemeClr>
              </a:solidFill>
              <a:latin typeface="Arial Black" panose="020B0A04020102020204" pitchFamily="34" charset="0"/>
              <a:cs typeface="Calibri"/>
            </a:rPr>
            <a:pPr algn="ctr"/>
            <a:t>7%</a:t>
          </a:fld>
          <a:endParaRPr lang="en-US" sz="1600">
            <a:solidFill>
              <a:schemeClr val="accent5">
                <a:lumMod val="50000"/>
              </a:schemeClr>
            </a:solidFill>
            <a:latin typeface="Arial Black" panose="020B0A04020102020204" pitchFamily="34" charset="0"/>
          </a:endParaRPr>
        </a:p>
      </xdr:txBody>
    </xdr:sp>
    <xdr:clientData/>
  </xdr:twoCellAnchor>
  <xdr:twoCellAnchor>
    <xdr:from>
      <xdr:col>0</xdr:col>
      <xdr:colOff>303068</xdr:colOff>
      <xdr:row>6</xdr:row>
      <xdr:rowOff>72160</xdr:rowOff>
    </xdr:from>
    <xdr:to>
      <xdr:col>3</xdr:col>
      <xdr:colOff>418523</xdr:colOff>
      <xdr:row>8</xdr:row>
      <xdr:rowOff>101022</xdr:rowOff>
    </xdr:to>
    <xdr:sp macro="" textlink="">
      <xdr:nvSpPr>
        <xdr:cNvPr id="14" name="Rectangle: Rounded Corners 13">
          <a:extLst>
            <a:ext uri="{FF2B5EF4-FFF2-40B4-BE49-F238E27FC236}">
              <a16:creationId xmlns:a16="http://schemas.microsoft.com/office/drawing/2014/main" id="{5CF15163-4F94-4305-BA91-8FFFE97B8E0F}"/>
            </a:ext>
          </a:extLst>
        </xdr:cNvPr>
        <xdr:cNvSpPr/>
      </xdr:nvSpPr>
      <xdr:spPr>
        <a:xfrm>
          <a:off x="303068" y="1380260"/>
          <a:ext cx="1944255" cy="397162"/>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Total</a:t>
          </a:r>
          <a:r>
            <a:rPr lang="en-US" sz="1400" baseline="0">
              <a:solidFill>
                <a:schemeClr val="bg1">
                  <a:lumMod val="95000"/>
                </a:schemeClr>
              </a:solidFill>
              <a:latin typeface="Arial Black" panose="020B0A04020102020204" pitchFamily="34" charset="0"/>
            </a:rPr>
            <a:t> Employees</a:t>
          </a:r>
          <a:endParaRPr lang="en-US" sz="1400">
            <a:solidFill>
              <a:schemeClr val="bg1">
                <a:lumMod val="95000"/>
              </a:schemeClr>
            </a:solidFill>
            <a:latin typeface="Arial Black" panose="020B0A04020102020204" pitchFamily="34" charset="0"/>
          </a:endParaRPr>
        </a:p>
      </xdr:txBody>
    </xdr:sp>
    <xdr:clientData/>
  </xdr:twoCellAnchor>
  <xdr:twoCellAnchor>
    <xdr:from>
      <xdr:col>0</xdr:col>
      <xdr:colOff>296718</xdr:colOff>
      <xdr:row>9</xdr:row>
      <xdr:rowOff>80242</xdr:rowOff>
    </xdr:from>
    <xdr:to>
      <xdr:col>3</xdr:col>
      <xdr:colOff>412173</xdr:colOff>
      <xdr:row>11</xdr:row>
      <xdr:rowOff>109105</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397BAADF-EE40-4BF6-8C66-D9E96541DB56}"/>
            </a:ext>
          </a:extLst>
        </xdr:cNvPr>
        <xdr:cNvSpPr/>
      </xdr:nvSpPr>
      <xdr:spPr>
        <a:xfrm>
          <a:off x="296718" y="1940792"/>
          <a:ext cx="1944255" cy="397163"/>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Billing</a:t>
          </a:r>
        </a:p>
      </xdr:txBody>
    </xdr:sp>
    <xdr:clientData/>
  </xdr:twoCellAnchor>
  <xdr:twoCellAnchor>
    <xdr:from>
      <xdr:col>0</xdr:col>
      <xdr:colOff>290368</xdr:colOff>
      <xdr:row>12</xdr:row>
      <xdr:rowOff>88324</xdr:rowOff>
    </xdr:from>
    <xdr:to>
      <xdr:col>3</xdr:col>
      <xdr:colOff>405823</xdr:colOff>
      <xdr:row>14</xdr:row>
      <xdr:rowOff>117187</xdr:rowOff>
    </xdr:to>
    <xdr:sp macro="" textlink="">
      <xdr:nvSpPr>
        <xdr:cNvPr id="16" name="Rectangle: Rounded Corners 15">
          <a:extLst>
            <a:ext uri="{FF2B5EF4-FFF2-40B4-BE49-F238E27FC236}">
              <a16:creationId xmlns:a16="http://schemas.microsoft.com/office/drawing/2014/main" id="{431525C1-A916-48E2-BD50-396FE4AD8884}"/>
            </a:ext>
          </a:extLst>
        </xdr:cNvPr>
        <xdr:cNvSpPr/>
      </xdr:nvSpPr>
      <xdr:spPr>
        <a:xfrm>
          <a:off x="290368" y="2501324"/>
          <a:ext cx="1944255" cy="397163"/>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Attrition</a:t>
          </a:r>
        </a:p>
      </xdr:txBody>
    </xdr:sp>
    <xdr:clientData/>
  </xdr:twoCellAnchor>
  <xdr:twoCellAnchor>
    <xdr:from>
      <xdr:col>4</xdr:col>
      <xdr:colOff>101024</xdr:colOff>
      <xdr:row>13</xdr:row>
      <xdr:rowOff>158749</xdr:rowOff>
    </xdr:from>
    <xdr:to>
      <xdr:col>9</xdr:col>
      <xdr:colOff>43296</xdr:colOff>
      <xdr:row>24</xdr:row>
      <xdr:rowOff>43294</xdr:rowOff>
    </xdr:to>
    <xdr:sp macro="" textlink="">
      <xdr:nvSpPr>
        <xdr:cNvPr id="19" name="Rectangle: Rounded Corners 18">
          <a:extLst>
            <a:ext uri="{FF2B5EF4-FFF2-40B4-BE49-F238E27FC236}">
              <a16:creationId xmlns:a16="http://schemas.microsoft.com/office/drawing/2014/main" id="{611B2276-264F-4F1C-BE92-7255752DDB23}"/>
            </a:ext>
          </a:extLst>
        </xdr:cNvPr>
        <xdr:cNvSpPr/>
      </xdr:nvSpPr>
      <xdr:spPr>
        <a:xfrm>
          <a:off x="2539424" y="2755899"/>
          <a:ext cx="2990272" cy="1910195"/>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144318</xdr:colOff>
      <xdr:row>14</xdr:row>
      <xdr:rowOff>28864</xdr:rowOff>
    </xdr:from>
    <xdr:to>
      <xdr:col>9</xdr:col>
      <xdr:colOff>43295</xdr:colOff>
      <xdr:row>24</xdr:row>
      <xdr:rowOff>0</xdr:rowOff>
    </xdr:to>
    <xdr:graphicFrame macro="">
      <xdr:nvGraphicFramePr>
        <xdr:cNvPr id="20" name="Chart 19">
          <a:extLst>
            <a:ext uri="{FF2B5EF4-FFF2-40B4-BE49-F238E27FC236}">
              <a16:creationId xmlns:a16="http://schemas.microsoft.com/office/drawing/2014/main" id="{CC2462DB-8E47-417A-A993-AE2673942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80242</xdr:colOff>
      <xdr:row>24</xdr:row>
      <xdr:rowOff>181263</xdr:rowOff>
    </xdr:from>
    <xdr:to>
      <xdr:col>9</xdr:col>
      <xdr:colOff>22514</xdr:colOff>
      <xdr:row>35</xdr:row>
      <xdr:rowOff>65808</xdr:rowOff>
    </xdr:to>
    <xdr:sp macro="" textlink="">
      <xdr:nvSpPr>
        <xdr:cNvPr id="21" name="Rectangle: Rounded Corners 20">
          <a:extLst>
            <a:ext uri="{FF2B5EF4-FFF2-40B4-BE49-F238E27FC236}">
              <a16:creationId xmlns:a16="http://schemas.microsoft.com/office/drawing/2014/main" id="{3EE0AD82-BDFC-4901-988E-7ECB49E70B53}"/>
            </a:ext>
          </a:extLst>
        </xdr:cNvPr>
        <xdr:cNvSpPr/>
      </xdr:nvSpPr>
      <xdr:spPr>
        <a:xfrm>
          <a:off x="2518642" y="4804063"/>
          <a:ext cx="2990272" cy="1910195"/>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166833</xdr:colOff>
      <xdr:row>14</xdr:row>
      <xdr:rowOff>4372</xdr:rowOff>
    </xdr:from>
    <xdr:to>
      <xdr:col>14</xdr:col>
      <xdr:colOff>109105</xdr:colOff>
      <xdr:row>24</xdr:row>
      <xdr:rowOff>76530</xdr:rowOff>
    </xdr:to>
    <xdr:sp macro="" textlink="">
      <xdr:nvSpPr>
        <xdr:cNvPr id="22" name="Rectangle: Rounded Corners 21">
          <a:extLst>
            <a:ext uri="{FF2B5EF4-FFF2-40B4-BE49-F238E27FC236}">
              <a16:creationId xmlns:a16="http://schemas.microsoft.com/office/drawing/2014/main" id="{F6C95795-1861-4295-897A-09CCD586A0ED}"/>
            </a:ext>
          </a:extLst>
        </xdr:cNvPr>
        <xdr:cNvSpPr/>
      </xdr:nvSpPr>
      <xdr:spPr>
        <a:xfrm>
          <a:off x="5653233" y="2785672"/>
          <a:ext cx="2990272" cy="1913658"/>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160483</xdr:colOff>
      <xdr:row>25</xdr:row>
      <xdr:rowOff>17814</xdr:rowOff>
    </xdr:from>
    <xdr:to>
      <xdr:col>14</xdr:col>
      <xdr:colOff>102755</xdr:colOff>
      <xdr:row>35</xdr:row>
      <xdr:rowOff>89972</xdr:rowOff>
    </xdr:to>
    <xdr:sp macro="" textlink="">
      <xdr:nvSpPr>
        <xdr:cNvPr id="23" name="Rectangle: Rounded Corners 22">
          <a:extLst>
            <a:ext uri="{FF2B5EF4-FFF2-40B4-BE49-F238E27FC236}">
              <a16:creationId xmlns:a16="http://schemas.microsoft.com/office/drawing/2014/main" id="{913CA9C7-B4D1-48A7-AE41-2652A9E8FA04}"/>
            </a:ext>
          </a:extLst>
        </xdr:cNvPr>
        <xdr:cNvSpPr/>
      </xdr:nvSpPr>
      <xdr:spPr>
        <a:xfrm>
          <a:off x="5646883" y="4824764"/>
          <a:ext cx="2990272" cy="1913658"/>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181441</xdr:colOff>
      <xdr:row>14</xdr:row>
      <xdr:rowOff>72572</xdr:rowOff>
    </xdr:from>
    <xdr:to>
      <xdr:col>14</xdr:col>
      <xdr:colOff>63512</xdr:colOff>
      <xdr:row>23</xdr:row>
      <xdr:rowOff>172358</xdr:rowOff>
    </xdr:to>
    <xdr:graphicFrame macro="">
      <xdr:nvGraphicFramePr>
        <xdr:cNvPr id="24" name="Chart 23">
          <a:extLst>
            <a:ext uri="{FF2B5EF4-FFF2-40B4-BE49-F238E27FC236}">
              <a16:creationId xmlns:a16="http://schemas.microsoft.com/office/drawing/2014/main" id="{35B38C6B-AB52-40EE-B615-9F89FAA0E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208641</xdr:colOff>
      <xdr:row>25</xdr:row>
      <xdr:rowOff>81644</xdr:rowOff>
    </xdr:from>
    <xdr:to>
      <xdr:col>14</xdr:col>
      <xdr:colOff>54428</xdr:colOff>
      <xdr:row>35</xdr:row>
      <xdr:rowOff>45358</xdr:rowOff>
    </xdr:to>
    <xdr:graphicFrame macro="">
      <xdr:nvGraphicFramePr>
        <xdr:cNvPr id="25" name="Chart 24">
          <a:extLst>
            <a:ext uri="{FF2B5EF4-FFF2-40B4-BE49-F238E27FC236}">
              <a16:creationId xmlns:a16="http://schemas.microsoft.com/office/drawing/2014/main" id="{59A8D275-D193-4BF8-A745-B5F148F89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154214</xdr:colOff>
      <xdr:row>25</xdr:row>
      <xdr:rowOff>18142</xdr:rowOff>
    </xdr:from>
    <xdr:to>
      <xdr:col>8</xdr:col>
      <xdr:colOff>535212</xdr:colOff>
      <xdr:row>35</xdr:row>
      <xdr:rowOff>45356</xdr:rowOff>
    </xdr:to>
    <xdr:graphicFrame macro="">
      <xdr:nvGraphicFramePr>
        <xdr:cNvPr id="26" name="Chart 25">
          <a:extLst>
            <a:ext uri="{FF2B5EF4-FFF2-40B4-BE49-F238E27FC236}">
              <a16:creationId xmlns:a16="http://schemas.microsoft.com/office/drawing/2014/main" id="{2AD2D2B1-321A-4726-9D5A-BF8484437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199572</xdr:colOff>
      <xdr:row>25</xdr:row>
      <xdr:rowOff>4</xdr:rowOff>
    </xdr:from>
    <xdr:to>
      <xdr:col>17</xdr:col>
      <xdr:colOff>205015</xdr:colOff>
      <xdr:row>35</xdr:row>
      <xdr:rowOff>117932</xdr:rowOff>
    </xdr:to>
    <mc:AlternateContent xmlns:mc="http://schemas.openxmlformats.org/markup-compatibility/2006" xmlns:a14="http://schemas.microsoft.com/office/drawing/2010/main">
      <mc:Choice Requires="a14">
        <xdr:graphicFrame macro="">
          <xdr:nvGraphicFramePr>
            <xdr:cNvPr id="27" name="Dept Code 2">
              <a:extLst>
                <a:ext uri="{FF2B5EF4-FFF2-40B4-BE49-F238E27FC236}">
                  <a16:creationId xmlns:a16="http://schemas.microsoft.com/office/drawing/2014/main" id="{B80DDD03-D202-49EE-B29B-B28EF841D767}"/>
                </a:ext>
              </a:extLst>
            </xdr:cNvPr>
            <xdr:cNvGraphicFramePr/>
          </xdr:nvGraphicFramePr>
          <xdr:xfrm>
            <a:off x="0" y="0"/>
            <a:ext cx="0" cy="0"/>
          </xdr:xfrm>
          <a:graphic>
            <a:graphicData uri="http://schemas.microsoft.com/office/drawing/2010/slicer">
              <sle:slicer xmlns:sle="http://schemas.microsoft.com/office/drawing/2010/slicer" name="Dept Code 2"/>
            </a:graphicData>
          </a:graphic>
        </xdr:graphicFrame>
      </mc:Choice>
      <mc:Fallback xmlns="">
        <xdr:sp macro="" textlink="">
          <xdr:nvSpPr>
            <xdr:cNvPr id="0" name=""/>
            <xdr:cNvSpPr>
              <a:spLocks noTextEdit="1"/>
            </xdr:cNvSpPr>
          </xdr:nvSpPr>
          <xdr:spPr>
            <a:xfrm>
              <a:off x="8708572" y="4744361"/>
              <a:ext cx="1828800" cy="193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276675</xdr:colOff>
      <xdr:row>13</xdr:row>
      <xdr:rowOff>122464</xdr:rowOff>
    </xdr:from>
    <xdr:to>
      <xdr:col>20</xdr:col>
      <xdr:colOff>72568</xdr:colOff>
      <xdr:row>26</xdr:row>
      <xdr:rowOff>36285</xdr:rowOff>
    </xdr:to>
    <mc:AlternateContent xmlns:mc="http://schemas.openxmlformats.org/markup-compatibility/2006" xmlns:a14="http://schemas.microsoft.com/office/drawing/2010/main">
      <mc:Choice Requires="a14">
        <xdr:graphicFrame macro="">
          <xdr:nvGraphicFramePr>
            <xdr:cNvPr id="28" name="Performance Score 2">
              <a:extLst>
                <a:ext uri="{FF2B5EF4-FFF2-40B4-BE49-F238E27FC236}">
                  <a16:creationId xmlns:a16="http://schemas.microsoft.com/office/drawing/2014/main" id="{E46AF463-03F7-449F-9C78-D9A7C5E2CB22}"/>
                </a:ext>
              </a:extLst>
            </xdr:cNvPr>
            <xdr:cNvGraphicFramePr/>
          </xdr:nvGraphicFramePr>
          <xdr:xfrm>
            <a:off x="0" y="0"/>
            <a:ext cx="0" cy="0"/>
          </xdr:xfrm>
          <a:graphic>
            <a:graphicData uri="http://schemas.microsoft.com/office/drawing/2010/slicer">
              <sle:slicer xmlns:sle="http://schemas.microsoft.com/office/drawing/2010/slicer" name="Performance Score 2"/>
            </a:graphicData>
          </a:graphic>
        </xdr:graphicFrame>
      </mc:Choice>
      <mc:Fallback xmlns="">
        <xdr:sp macro="" textlink="">
          <xdr:nvSpPr>
            <xdr:cNvPr id="0" name=""/>
            <xdr:cNvSpPr>
              <a:spLocks noTextEdit="1"/>
            </xdr:cNvSpPr>
          </xdr:nvSpPr>
          <xdr:spPr>
            <a:xfrm>
              <a:off x="10609032" y="2689678"/>
              <a:ext cx="1619250" cy="2272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253999</xdr:colOff>
      <xdr:row>5</xdr:row>
      <xdr:rowOff>145143</xdr:rowOff>
    </xdr:from>
    <xdr:to>
      <xdr:col>20</xdr:col>
      <xdr:colOff>45357</xdr:colOff>
      <xdr:row>13</xdr:row>
      <xdr:rowOff>63502</xdr:rowOff>
    </xdr:to>
    <mc:AlternateContent xmlns:mc="http://schemas.openxmlformats.org/markup-compatibility/2006" xmlns:a14="http://schemas.microsoft.com/office/drawing/2010/main">
      <mc:Choice Requires="a14">
        <xdr:graphicFrame macro="">
          <xdr:nvGraphicFramePr>
            <xdr:cNvPr id="29" name="Emplyment Status 2">
              <a:extLst>
                <a:ext uri="{FF2B5EF4-FFF2-40B4-BE49-F238E27FC236}">
                  <a16:creationId xmlns:a16="http://schemas.microsoft.com/office/drawing/2014/main" id="{06661C90-B26E-46D7-8D68-2859F1495BBE}"/>
                </a:ext>
              </a:extLst>
            </xdr:cNvPr>
            <xdr:cNvGraphicFramePr/>
          </xdr:nvGraphicFramePr>
          <xdr:xfrm>
            <a:off x="0" y="0"/>
            <a:ext cx="0" cy="0"/>
          </xdr:xfrm>
          <a:graphic>
            <a:graphicData uri="http://schemas.microsoft.com/office/drawing/2010/slicer">
              <sle:slicer xmlns:sle="http://schemas.microsoft.com/office/drawing/2010/slicer" name="Emplyment Status 2"/>
            </a:graphicData>
          </a:graphic>
        </xdr:graphicFrame>
      </mc:Choice>
      <mc:Fallback xmlns="">
        <xdr:sp macro="" textlink="">
          <xdr:nvSpPr>
            <xdr:cNvPr id="0" name=""/>
            <xdr:cNvSpPr>
              <a:spLocks noTextEdit="1"/>
            </xdr:cNvSpPr>
          </xdr:nvSpPr>
          <xdr:spPr>
            <a:xfrm>
              <a:off x="10586356" y="1260929"/>
              <a:ext cx="1614715" cy="1369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204107</xdr:colOff>
      <xdr:row>13</xdr:row>
      <xdr:rowOff>131536</xdr:rowOff>
    </xdr:from>
    <xdr:to>
      <xdr:col>17</xdr:col>
      <xdr:colOff>209550</xdr:colOff>
      <xdr:row>24</xdr:row>
      <xdr:rowOff>81642</xdr:rowOff>
    </xdr:to>
    <mc:AlternateContent xmlns:mc="http://schemas.openxmlformats.org/markup-compatibility/2006" xmlns:a14="http://schemas.microsoft.com/office/drawing/2010/main">
      <mc:Choice Requires="a14">
        <xdr:graphicFrame macro="">
          <xdr:nvGraphicFramePr>
            <xdr:cNvPr id="30" name="Department Name 2">
              <a:extLst>
                <a:ext uri="{FF2B5EF4-FFF2-40B4-BE49-F238E27FC236}">
                  <a16:creationId xmlns:a16="http://schemas.microsoft.com/office/drawing/2014/main" id="{498F5604-7622-41BD-93EA-63910EADB1EA}"/>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8713107" y="2698750"/>
              <a:ext cx="1828800" cy="19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272143</xdr:colOff>
      <xdr:row>26</xdr:row>
      <xdr:rowOff>99786</xdr:rowOff>
    </xdr:from>
    <xdr:to>
      <xdr:col>20</xdr:col>
      <xdr:colOff>54429</xdr:colOff>
      <xdr:row>35</xdr:row>
      <xdr:rowOff>136071</xdr:rowOff>
    </xdr:to>
    <mc:AlternateContent xmlns:mc="http://schemas.openxmlformats.org/markup-compatibility/2006" xmlns:a14="http://schemas.microsoft.com/office/drawing/2010/main">
      <mc:Choice Requires="a14">
        <xdr:graphicFrame macro="">
          <xdr:nvGraphicFramePr>
            <xdr:cNvPr id="31" name="Performance Band 2">
              <a:extLst>
                <a:ext uri="{FF2B5EF4-FFF2-40B4-BE49-F238E27FC236}">
                  <a16:creationId xmlns:a16="http://schemas.microsoft.com/office/drawing/2014/main" id="{74EBFCA7-0C61-47E6-A02F-F38D3B21924C}"/>
                </a:ext>
              </a:extLst>
            </xdr:cNvPr>
            <xdr:cNvGraphicFramePr/>
          </xdr:nvGraphicFramePr>
          <xdr:xfrm>
            <a:off x="0" y="0"/>
            <a:ext cx="0" cy="0"/>
          </xdr:xfrm>
          <a:graphic>
            <a:graphicData uri="http://schemas.microsoft.com/office/drawing/2010/slicer">
              <sle:slicer xmlns:sle="http://schemas.microsoft.com/office/drawing/2010/slicer" name="Performance Band 2"/>
            </a:graphicData>
          </a:graphic>
        </xdr:graphicFrame>
      </mc:Choice>
      <mc:Fallback xmlns="">
        <xdr:sp macro="" textlink="">
          <xdr:nvSpPr>
            <xdr:cNvPr id="0" name=""/>
            <xdr:cNvSpPr>
              <a:spLocks noTextEdit="1"/>
            </xdr:cNvSpPr>
          </xdr:nvSpPr>
          <xdr:spPr>
            <a:xfrm>
              <a:off x="10604500" y="5025572"/>
              <a:ext cx="1605643" cy="1669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408214</xdr:colOff>
      <xdr:row>4</xdr:row>
      <xdr:rowOff>63500</xdr:rowOff>
    </xdr:from>
    <xdr:to>
      <xdr:col>15</xdr:col>
      <xdr:colOff>65065</xdr:colOff>
      <xdr:row>9</xdr:row>
      <xdr:rowOff>28780</xdr:rowOff>
    </xdr:to>
    <xdr:pic>
      <xdr:nvPicPr>
        <xdr:cNvPr id="17" name="Picture 16">
          <a:extLst>
            <a:ext uri="{FF2B5EF4-FFF2-40B4-BE49-F238E27FC236}">
              <a16:creationId xmlns:a16="http://schemas.microsoft.com/office/drawing/2014/main" id="{72D52B57-9300-4005-943C-A8EF604715A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8309428" y="997857"/>
          <a:ext cx="872423" cy="872423"/>
        </a:xfrm>
        <a:prstGeom prst="rect">
          <a:avLst/>
        </a:prstGeom>
        <a:ln>
          <a:noFill/>
        </a:ln>
        <a:effectLst>
          <a:softEdge rad="112500"/>
        </a:effectLst>
      </xdr:spPr>
    </xdr:pic>
    <xdr:clientData/>
  </xdr:twoCellAnchor>
  <xdr:twoCellAnchor editAs="oneCell">
    <xdr:from>
      <xdr:col>5</xdr:col>
      <xdr:colOff>194555</xdr:colOff>
      <xdr:row>3</xdr:row>
      <xdr:rowOff>168159</xdr:rowOff>
    </xdr:from>
    <xdr:to>
      <xdr:col>6</xdr:col>
      <xdr:colOff>545353</xdr:colOff>
      <xdr:row>9</xdr:row>
      <xdr:rowOff>10957</xdr:rowOff>
    </xdr:to>
    <xdr:pic>
      <xdr:nvPicPr>
        <xdr:cNvPr id="32" name="Picture 31">
          <a:extLst>
            <a:ext uri="{FF2B5EF4-FFF2-40B4-BE49-F238E27FC236}">
              <a16:creationId xmlns:a16="http://schemas.microsoft.com/office/drawing/2014/main" id="{83C6A43A-6525-E73D-BEBB-6E3C5360884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3257496" y="930159"/>
          <a:ext cx="963386" cy="963386"/>
        </a:xfrm>
        <a:prstGeom prst="rect">
          <a:avLst/>
        </a:prstGeom>
        <a:ln>
          <a:noFill/>
        </a:ln>
        <a:effectLst>
          <a:softEdge rad="112500"/>
        </a:effectLst>
      </xdr:spPr>
    </xdr:pic>
    <xdr:clientData/>
  </xdr:twoCellAnchor>
  <xdr:twoCellAnchor editAs="oneCell">
    <xdr:from>
      <xdr:col>0</xdr:col>
      <xdr:colOff>0</xdr:colOff>
      <xdr:row>3</xdr:row>
      <xdr:rowOff>100461</xdr:rowOff>
    </xdr:from>
    <xdr:to>
      <xdr:col>0</xdr:col>
      <xdr:colOff>0</xdr:colOff>
      <xdr:row>8</xdr:row>
      <xdr:rowOff>130023</xdr:rowOff>
    </xdr:to>
    <xdr:pic>
      <xdr:nvPicPr>
        <xdr:cNvPr id="33" name="Picture 32">
          <a:extLst>
            <a:ext uri="{FF2B5EF4-FFF2-40B4-BE49-F238E27FC236}">
              <a16:creationId xmlns:a16="http://schemas.microsoft.com/office/drawing/2014/main" id="{CF9542A7-9DA5-9D07-B7AC-8D1AD539930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0" y="862461"/>
          <a:ext cx="0" cy="963386"/>
        </a:xfrm>
        <a:prstGeom prst="rect">
          <a:avLst/>
        </a:prstGeom>
        <a:ln>
          <a:noFill/>
        </a:ln>
        <a:effectLst>
          <a:softEdge rad="112500"/>
        </a:effectLst>
      </xdr:spPr>
    </xdr:pic>
    <xdr:clientData/>
  </xdr:twoCellAnchor>
  <xdr:twoCellAnchor editAs="oneCell">
    <xdr:from>
      <xdr:col>9</xdr:col>
      <xdr:colOff>503837</xdr:colOff>
      <xdr:row>4</xdr:row>
      <xdr:rowOff>143445</xdr:rowOff>
    </xdr:from>
    <xdr:to>
      <xdr:col>11</xdr:col>
      <xdr:colOff>7470</xdr:colOff>
      <xdr:row>8</xdr:row>
      <xdr:rowOff>118536</xdr:rowOff>
    </xdr:to>
    <xdr:pic>
      <xdr:nvPicPr>
        <xdr:cNvPr id="34" name="Picture 33">
          <a:extLst>
            <a:ext uri="{FF2B5EF4-FFF2-40B4-BE49-F238E27FC236}">
              <a16:creationId xmlns:a16="http://schemas.microsoft.com/office/drawing/2014/main" id="{B6D1753B-AB0C-4272-DC3F-254A7DE48E8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6017131" y="1092210"/>
          <a:ext cx="728810" cy="722150"/>
        </a:xfrm>
        <a:prstGeom prst="rect">
          <a:avLst/>
        </a:prstGeom>
        <a:ln>
          <a:noFill/>
        </a:ln>
        <a:effectLst>
          <a:softEdge rad="11250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197098</xdr:colOff>
      <xdr:row>4</xdr:row>
      <xdr:rowOff>42883</xdr:rowOff>
    </xdr:from>
    <xdr:to>
      <xdr:col>20</xdr:col>
      <xdr:colOff>235858</xdr:colOff>
      <xdr:row>36</xdr:row>
      <xdr:rowOff>99787</xdr:rowOff>
    </xdr:to>
    <xdr:sp macro="" textlink="">
      <xdr:nvSpPr>
        <xdr:cNvPr id="2" name="Rectangle: Rounded Corners 1">
          <a:extLst>
            <a:ext uri="{FF2B5EF4-FFF2-40B4-BE49-F238E27FC236}">
              <a16:creationId xmlns:a16="http://schemas.microsoft.com/office/drawing/2014/main" id="{2673B8B1-5D1C-4071-8155-3B8A29B511E2}"/>
            </a:ext>
          </a:extLst>
        </xdr:cNvPr>
        <xdr:cNvSpPr/>
      </xdr:nvSpPr>
      <xdr:spPr>
        <a:xfrm>
          <a:off x="197098" y="977240"/>
          <a:ext cx="12194474" cy="5862618"/>
        </a:xfrm>
        <a:prstGeom prst="roundRect">
          <a:avLst>
            <a:gd name="adj" fmla="val 2920"/>
          </a:avLst>
        </a:prstGeom>
        <a:solidFill>
          <a:schemeClr val="accent5">
            <a:lumMod val="20000"/>
            <a:lumOff val="80000"/>
          </a:schemeClr>
        </a:solidFill>
        <a:ln>
          <a:noFill/>
        </a:ln>
        <a:effectLst>
          <a:outerShdw blurRad="40000" dist="20000" dir="5400000" rotWithShape="0">
            <a:srgbClr val="000000">
              <a:alpha val="38000"/>
            </a:srgbClr>
          </a:outerShdw>
          <a:softEdge rad="63500"/>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217057</xdr:colOff>
      <xdr:row>5</xdr:row>
      <xdr:rowOff>57727</xdr:rowOff>
    </xdr:from>
    <xdr:to>
      <xdr:col>3</xdr:col>
      <xdr:colOff>548409</xdr:colOff>
      <xdr:row>36</xdr:row>
      <xdr:rowOff>90715</xdr:rowOff>
    </xdr:to>
    <xdr:sp macro="" textlink="">
      <xdr:nvSpPr>
        <xdr:cNvPr id="3" name="Rectangle: Rounded Corners 2">
          <a:extLst>
            <a:ext uri="{FF2B5EF4-FFF2-40B4-BE49-F238E27FC236}">
              <a16:creationId xmlns:a16="http://schemas.microsoft.com/office/drawing/2014/main" id="{91B1526C-6A43-4989-AB3E-0EA361120E73}"/>
            </a:ext>
          </a:extLst>
        </xdr:cNvPr>
        <xdr:cNvSpPr/>
      </xdr:nvSpPr>
      <xdr:spPr>
        <a:xfrm>
          <a:off x="217057" y="1181677"/>
          <a:ext cx="2160152" cy="5741638"/>
        </a:xfrm>
        <a:prstGeom prst="roundRect">
          <a:avLst>
            <a:gd name="adj" fmla="val 9356"/>
          </a:avLst>
        </a:prstGeom>
        <a:solidFill>
          <a:schemeClr val="accent5">
            <a:lumMod val="50000"/>
          </a:schemeClr>
        </a:solidFill>
        <a:ln>
          <a:solidFill>
            <a:schemeClr val="accent5">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134509</xdr:colOff>
      <xdr:row>6</xdr:row>
      <xdr:rowOff>123700</xdr:rowOff>
    </xdr:from>
    <xdr:to>
      <xdr:col>8</xdr:col>
      <xdr:colOff>72572</xdr:colOff>
      <xdr:row>12</xdr:row>
      <xdr:rowOff>59952</xdr:rowOff>
    </xdr:to>
    <xdr:sp macro="" textlink="">
      <xdr:nvSpPr>
        <xdr:cNvPr id="4" name="Rectangle: Rounded Corners 3">
          <a:extLst>
            <a:ext uri="{FF2B5EF4-FFF2-40B4-BE49-F238E27FC236}">
              <a16:creationId xmlns:a16="http://schemas.microsoft.com/office/drawing/2014/main" id="{40D324B5-343D-4F3A-BA9E-D03AA0090520}"/>
            </a:ext>
          </a:extLst>
        </xdr:cNvPr>
        <xdr:cNvSpPr/>
      </xdr:nvSpPr>
      <xdr:spPr>
        <a:xfrm>
          <a:off x="2572909" y="1431800"/>
          <a:ext cx="2376463" cy="1041152"/>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230908</xdr:colOff>
      <xdr:row>1</xdr:row>
      <xdr:rowOff>115454</xdr:rowOff>
    </xdr:from>
    <xdr:to>
      <xdr:col>20</xdr:col>
      <xdr:colOff>36285</xdr:colOff>
      <xdr:row>4</xdr:row>
      <xdr:rowOff>57727</xdr:rowOff>
    </xdr:to>
    <xdr:sp macro="" textlink="">
      <xdr:nvSpPr>
        <xdr:cNvPr id="5" name="Rectangle 4">
          <a:extLst>
            <a:ext uri="{FF2B5EF4-FFF2-40B4-BE49-F238E27FC236}">
              <a16:creationId xmlns:a16="http://schemas.microsoft.com/office/drawing/2014/main" id="{68C49B02-B34F-4A28-AAAE-0D0023D8FC21}"/>
            </a:ext>
          </a:extLst>
        </xdr:cNvPr>
        <xdr:cNvSpPr/>
      </xdr:nvSpPr>
      <xdr:spPr>
        <a:xfrm>
          <a:off x="230908" y="299604"/>
          <a:ext cx="11997377" cy="697923"/>
        </a:xfrm>
        <a:prstGeom prst="rect">
          <a:avLst/>
        </a:prstGeom>
        <a:solidFill>
          <a:schemeClr val="accent5">
            <a:lumMod val="50000"/>
          </a:schemeClr>
        </a:solidFill>
        <a:ln>
          <a:solidFill>
            <a:schemeClr val="accent5">
              <a:lumMod val="5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800">
              <a:solidFill>
                <a:schemeClr val="bg1"/>
              </a:solidFill>
              <a:latin typeface="Arial Black" panose="020B0A04020102020204" pitchFamily="34" charset="0"/>
            </a:rPr>
            <a:t>HR ANALYTICS DASHBOARD</a:t>
          </a:r>
        </a:p>
      </xdr:txBody>
    </xdr:sp>
    <xdr:clientData/>
  </xdr:twoCellAnchor>
  <xdr:twoCellAnchor>
    <xdr:from>
      <xdr:col>4</xdr:col>
      <xdr:colOff>303069</xdr:colOff>
      <xdr:row>8</xdr:row>
      <xdr:rowOff>2</xdr:rowOff>
    </xdr:from>
    <xdr:to>
      <xdr:col>7</xdr:col>
      <xdr:colOff>493197</xdr:colOff>
      <xdr:row>9</xdr:row>
      <xdr:rowOff>128560</xdr:rowOff>
    </xdr:to>
    <xdr:sp macro="" textlink="">
      <xdr:nvSpPr>
        <xdr:cNvPr id="6" name="Rectangle: Rounded Corners 5">
          <a:extLst>
            <a:ext uri="{FF2B5EF4-FFF2-40B4-BE49-F238E27FC236}">
              <a16:creationId xmlns:a16="http://schemas.microsoft.com/office/drawing/2014/main" id="{9325F31C-9189-4892-B436-5D39750374AA}"/>
            </a:ext>
          </a:extLst>
        </xdr:cNvPr>
        <xdr:cNvSpPr/>
      </xdr:nvSpPr>
      <xdr:spPr>
        <a:xfrm>
          <a:off x="2741469" y="1676402"/>
          <a:ext cx="2018928" cy="312708"/>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Total</a:t>
          </a:r>
          <a:r>
            <a:rPr lang="en-US" sz="1400" baseline="0">
              <a:solidFill>
                <a:schemeClr val="accent5">
                  <a:lumMod val="50000"/>
                </a:schemeClr>
              </a:solidFill>
              <a:latin typeface="Arial Black" panose="020B0A04020102020204" pitchFamily="34" charset="0"/>
            </a:rPr>
            <a:t> Employees</a:t>
          </a:r>
          <a:endParaRPr lang="en-US" sz="1400">
            <a:solidFill>
              <a:schemeClr val="accent5">
                <a:lumMod val="50000"/>
              </a:schemeClr>
            </a:solidFill>
            <a:latin typeface="Arial Black" panose="020B0A04020102020204" pitchFamily="34" charset="0"/>
          </a:endParaRPr>
        </a:p>
      </xdr:txBody>
    </xdr:sp>
    <xdr:clientData/>
  </xdr:twoCellAnchor>
  <xdr:twoCellAnchor>
    <xdr:from>
      <xdr:col>4</xdr:col>
      <xdr:colOff>447387</xdr:colOff>
      <xdr:row>9</xdr:row>
      <xdr:rowOff>163286</xdr:rowOff>
    </xdr:from>
    <xdr:to>
      <xdr:col>7</xdr:col>
      <xdr:colOff>250149</xdr:colOff>
      <xdr:row>11</xdr:row>
      <xdr:rowOff>117929</xdr:rowOff>
    </xdr:to>
    <xdr:sp macro="" textlink="Analysis!B12">
      <xdr:nvSpPr>
        <xdr:cNvPr id="7" name="Rectangle 6">
          <a:extLst>
            <a:ext uri="{FF2B5EF4-FFF2-40B4-BE49-F238E27FC236}">
              <a16:creationId xmlns:a16="http://schemas.microsoft.com/office/drawing/2014/main" id="{175B809A-9879-43E4-B021-50B311020270}"/>
            </a:ext>
          </a:extLst>
        </xdr:cNvPr>
        <xdr:cNvSpPr/>
      </xdr:nvSpPr>
      <xdr:spPr>
        <a:xfrm>
          <a:off x="2885787" y="2023836"/>
          <a:ext cx="1631562" cy="322943"/>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C3BD07-47E4-4893-9F58-DE9FFB16273A}" type="TxLink">
            <a:rPr lang="en-US" sz="1600" b="0" i="0" u="none" strike="noStrike">
              <a:solidFill>
                <a:schemeClr val="accent5">
                  <a:lumMod val="50000"/>
                </a:schemeClr>
              </a:solidFill>
              <a:latin typeface="Arial Black" panose="020B0A04020102020204" pitchFamily="34" charset="0"/>
              <a:cs typeface="Calibri"/>
            </a:rPr>
            <a:pPr algn="ctr"/>
            <a:t>28</a:t>
          </a:fld>
          <a:endParaRPr lang="en-US" sz="1600">
            <a:solidFill>
              <a:schemeClr val="accent5">
                <a:lumMod val="50000"/>
              </a:schemeClr>
            </a:solidFill>
            <a:latin typeface="Arial Black" panose="020B0A04020102020204" pitchFamily="34" charset="0"/>
          </a:endParaRPr>
        </a:p>
      </xdr:txBody>
    </xdr:sp>
    <xdr:clientData/>
  </xdr:twoCellAnchor>
  <xdr:twoCellAnchor>
    <xdr:from>
      <xdr:col>8</xdr:col>
      <xdr:colOff>276184</xdr:colOff>
      <xdr:row>6</xdr:row>
      <xdr:rowOff>163286</xdr:rowOff>
    </xdr:from>
    <xdr:to>
      <xdr:col>12</xdr:col>
      <xdr:colOff>145142</xdr:colOff>
      <xdr:row>12</xdr:row>
      <xdr:rowOff>54428</xdr:rowOff>
    </xdr:to>
    <xdr:sp macro="" textlink="">
      <xdr:nvSpPr>
        <xdr:cNvPr id="8" name="Rectangle: Rounded Corners 7">
          <a:extLst>
            <a:ext uri="{FF2B5EF4-FFF2-40B4-BE49-F238E27FC236}">
              <a16:creationId xmlns:a16="http://schemas.microsoft.com/office/drawing/2014/main" id="{C508AC6E-0C84-4202-B85E-41A0C1F52BFE}"/>
            </a:ext>
          </a:extLst>
        </xdr:cNvPr>
        <xdr:cNvSpPr/>
      </xdr:nvSpPr>
      <xdr:spPr>
        <a:xfrm>
          <a:off x="5152984" y="1471386"/>
          <a:ext cx="2307358" cy="996042"/>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8</xdr:col>
      <xdr:colOff>444746</xdr:colOff>
      <xdr:row>7</xdr:row>
      <xdr:rowOff>176728</xdr:rowOff>
    </xdr:from>
    <xdr:to>
      <xdr:col>11</xdr:col>
      <xdr:colOff>577737</xdr:colOff>
      <xdr:row>9</xdr:row>
      <xdr:rowOff>123610</xdr:rowOff>
    </xdr:to>
    <xdr:sp macro="" textlink="">
      <xdr:nvSpPr>
        <xdr:cNvPr id="9" name="Rectangle: Rounded Corners 8">
          <a:extLst>
            <a:ext uri="{FF2B5EF4-FFF2-40B4-BE49-F238E27FC236}">
              <a16:creationId xmlns:a16="http://schemas.microsoft.com/office/drawing/2014/main" id="{9A46AA3D-C96A-4074-9589-29180C1B1E8B}"/>
            </a:ext>
          </a:extLst>
        </xdr:cNvPr>
        <xdr:cNvSpPr/>
      </xdr:nvSpPr>
      <xdr:spPr>
        <a:xfrm>
          <a:off x="5321546" y="1668978"/>
          <a:ext cx="1961791" cy="315182"/>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5">
                  <a:lumMod val="50000"/>
                </a:schemeClr>
              </a:solidFill>
              <a:latin typeface="Arial Black" panose="020B0A04020102020204" pitchFamily="34" charset="0"/>
            </a:rPr>
            <a:t>Average</a:t>
          </a:r>
          <a:r>
            <a:rPr lang="en-US" sz="1400" baseline="0">
              <a:solidFill>
                <a:schemeClr val="accent5">
                  <a:lumMod val="50000"/>
                </a:schemeClr>
              </a:solidFill>
              <a:latin typeface="Arial Black" panose="020B0A04020102020204" pitchFamily="34" charset="0"/>
            </a:rPr>
            <a:t> Salary</a:t>
          </a:r>
          <a:endParaRPr lang="en-US" sz="1400">
            <a:solidFill>
              <a:schemeClr val="accent5">
                <a:lumMod val="50000"/>
              </a:schemeClr>
            </a:solidFill>
            <a:latin typeface="Arial Black" panose="020B0A04020102020204" pitchFamily="34" charset="0"/>
          </a:endParaRPr>
        </a:p>
      </xdr:txBody>
    </xdr:sp>
    <xdr:clientData/>
  </xdr:twoCellAnchor>
  <xdr:twoCellAnchor>
    <xdr:from>
      <xdr:col>8</xdr:col>
      <xdr:colOff>589063</xdr:colOff>
      <xdr:row>10</xdr:row>
      <xdr:rowOff>7668</xdr:rowOff>
    </xdr:from>
    <xdr:to>
      <xdr:col>11</xdr:col>
      <xdr:colOff>344395</xdr:colOff>
      <xdr:row>11</xdr:row>
      <xdr:rowOff>136072</xdr:rowOff>
    </xdr:to>
    <xdr:sp macro="" textlink="Analysis!J24">
      <xdr:nvSpPr>
        <xdr:cNvPr id="10" name="Rectangle 9">
          <a:extLst>
            <a:ext uri="{FF2B5EF4-FFF2-40B4-BE49-F238E27FC236}">
              <a16:creationId xmlns:a16="http://schemas.microsoft.com/office/drawing/2014/main" id="{424617ED-43D0-401F-9EA8-C9F0C06E1639}"/>
            </a:ext>
          </a:extLst>
        </xdr:cNvPr>
        <xdr:cNvSpPr/>
      </xdr:nvSpPr>
      <xdr:spPr>
        <a:xfrm>
          <a:off x="5465863" y="2052368"/>
          <a:ext cx="1584132" cy="312554"/>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3D9C37-948C-441A-85E3-93F0CF2B1C00}" type="TxLink">
            <a:rPr lang="en-US" sz="1600" b="0" i="0" u="none" strike="noStrike">
              <a:solidFill>
                <a:schemeClr val="accent5">
                  <a:lumMod val="50000"/>
                </a:schemeClr>
              </a:solidFill>
              <a:latin typeface="Arial Black" panose="020B0A04020102020204" pitchFamily="34" charset="0"/>
              <a:cs typeface="Calibri"/>
            </a:rPr>
            <a:pPr algn="ctr"/>
            <a:t>$12,522,779.60</a:t>
          </a:fld>
          <a:endParaRPr lang="en-US" sz="1600">
            <a:solidFill>
              <a:schemeClr val="accent5">
                <a:lumMod val="50000"/>
              </a:schemeClr>
            </a:solidFill>
            <a:latin typeface="Arial Black" panose="020B0A04020102020204" pitchFamily="34" charset="0"/>
          </a:endParaRPr>
        </a:p>
      </xdr:txBody>
    </xdr:sp>
    <xdr:clientData/>
  </xdr:twoCellAnchor>
  <xdr:twoCellAnchor>
    <xdr:from>
      <xdr:col>12</xdr:col>
      <xdr:colOff>301586</xdr:colOff>
      <xdr:row>7</xdr:row>
      <xdr:rowOff>1730</xdr:rowOff>
    </xdr:from>
    <xdr:to>
      <xdr:col>16</xdr:col>
      <xdr:colOff>111583</xdr:colOff>
      <xdr:row>12</xdr:row>
      <xdr:rowOff>62921</xdr:rowOff>
    </xdr:to>
    <xdr:sp macro="" textlink="">
      <xdr:nvSpPr>
        <xdr:cNvPr id="11" name="Rectangle: Rounded Corners 10">
          <a:extLst>
            <a:ext uri="{FF2B5EF4-FFF2-40B4-BE49-F238E27FC236}">
              <a16:creationId xmlns:a16="http://schemas.microsoft.com/office/drawing/2014/main" id="{779820A7-A77D-42A0-81E7-9439540F0C7D}"/>
            </a:ext>
          </a:extLst>
        </xdr:cNvPr>
        <xdr:cNvSpPr/>
      </xdr:nvSpPr>
      <xdr:spPr>
        <a:xfrm>
          <a:off x="7616786" y="1493980"/>
          <a:ext cx="2248397" cy="981941"/>
        </a:xfrm>
        <a:prstGeom prst="roundRect">
          <a:avLst>
            <a:gd name="adj" fmla="val 10406"/>
          </a:avLst>
        </a:prstGeom>
        <a:solidFill>
          <a:schemeClr val="accent5">
            <a:lumMod val="40000"/>
            <a:lumOff val="60000"/>
          </a:schemeClr>
        </a:solidFill>
        <a:ln>
          <a:solidFill>
            <a:schemeClr val="accent5">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xdr:txBody>
    </xdr:sp>
    <xdr:clientData/>
  </xdr:twoCellAnchor>
  <xdr:twoCellAnchor>
    <xdr:from>
      <xdr:col>12</xdr:col>
      <xdr:colOff>280802</xdr:colOff>
      <xdr:row>8</xdr:row>
      <xdr:rowOff>28864</xdr:rowOff>
    </xdr:from>
    <xdr:to>
      <xdr:col>16</xdr:col>
      <xdr:colOff>54429</xdr:colOff>
      <xdr:row>9</xdr:row>
      <xdr:rowOff>117929</xdr:rowOff>
    </xdr:to>
    <xdr:sp macro="" textlink="">
      <xdr:nvSpPr>
        <xdr:cNvPr id="12" name="Rectangle: Rounded Corners 11">
          <a:extLst>
            <a:ext uri="{FF2B5EF4-FFF2-40B4-BE49-F238E27FC236}">
              <a16:creationId xmlns:a16="http://schemas.microsoft.com/office/drawing/2014/main" id="{2D092DCA-4973-450B-A798-FAE63524830C}"/>
            </a:ext>
          </a:extLst>
        </xdr:cNvPr>
        <xdr:cNvSpPr/>
      </xdr:nvSpPr>
      <xdr:spPr>
        <a:xfrm>
          <a:off x="7596002" y="1705264"/>
          <a:ext cx="2212027" cy="273215"/>
        </a:xfrm>
        <a:prstGeom prst="roundRect">
          <a:avLst>
            <a:gd name="adj" fmla="val 11290"/>
          </a:avLst>
        </a:prstGeom>
        <a:solidFill>
          <a:srgbClr val="B7D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accent5">
                  <a:lumMod val="50000"/>
                </a:schemeClr>
              </a:solidFill>
              <a:latin typeface="Arial Black" panose="020B0A04020102020204" pitchFamily="34" charset="0"/>
            </a:rPr>
            <a:t>Overall</a:t>
          </a:r>
          <a:r>
            <a:rPr lang="en-US" sz="1300" baseline="0">
              <a:solidFill>
                <a:schemeClr val="accent5">
                  <a:lumMod val="50000"/>
                </a:schemeClr>
              </a:solidFill>
              <a:latin typeface="Arial Black" panose="020B0A04020102020204" pitchFamily="34" charset="0"/>
            </a:rPr>
            <a:t> Attrition Rate</a:t>
          </a:r>
          <a:endParaRPr lang="en-US" sz="1300">
            <a:solidFill>
              <a:schemeClr val="accent5">
                <a:lumMod val="50000"/>
              </a:schemeClr>
            </a:solidFill>
            <a:latin typeface="Arial Black" panose="020B0A04020102020204" pitchFamily="34" charset="0"/>
          </a:endParaRPr>
        </a:p>
      </xdr:txBody>
    </xdr:sp>
    <xdr:clientData/>
  </xdr:twoCellAnchor>
  <xdr:twoCellAnchor>
    <xdr:from>
      <xdr:col>13</xdr:col>
      <xdr:colOff>8329</xdr:colOff>
      <xdr:row>10</xdr:row>
      <xdr:rowOff>57726</xdr:rowOff>
    </xdr:from>
    <xdr:to>
      <xdr:col>15</xdr:col>
      <xdr:colOff>329427</xdr:colOff>
      <xdr:row>11</xdr:row>
      <xdr:rowOff>169199</xdr:rowOff>
    </xdr:to>
    <xdr:sp macro="" textlink="Analysis!G25">
      <xdr:nvSpPr>
        <xdr:cNvPr id="13" name="Rectangle 12">
          <a:extLst>
            <a:ext uri="{FF2B5EF4-FFF2-40B4-BE49-F238E27FC236}">
              <a16:creationId xmlns:a16="http://schemas.microsoft.com/office/drawing/2014/main" id="{6F9FF4BB-31D7-4635-BF60-5280E9BD8931}"/>
            </a:ext>
          </a:extLst>
        </xdr:cNvPr>
        <xdr:cNvSpPr/>
      </xdr:nvSpPr>
      <xdr:spPr>
        <a:xfrm>
          <a:off x="7933129" y="2102426"/>
          <a:ext cx="1540298" cy="295623"/>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9F11A0-30B6-4C19-8003-6F8C912CEF38}" type="TxLink">
            <a:rPr lang="en-US" sz="1600" b="0" i="0" u="none" strike="noStrike">
              <a:solidFill>
                <a:schemeClr val="accent5">
                  <a:lumMod val="50000"/>
                </a:schemeClr>
              </a:solidFill>
              <a:latin typeface="Arial Black" panose="020B0A04020102020204" pitchFamily="34" charset="0"/>
              <a:cs typeface="Calibri"/>
            </a:rPr>
            <a:pPr algn="ctr"/>
            <a:t>7%</a:t>
          </a:fld>
          <a:endParaRPr lang="en-US" sz="1600">
            <a:solidFill>
              <a:schemeClr val="accent5">
                <a:lumMod val="50000"/>
              </a:schemeClr>
            </a:solidFill>
            <a:latin typeface="Arial Black" panose="020B0A04020102020204" pitchFamily="34" charset="0"/>
          </a:endParaRPr>
        </a:p>
      </xdr:txBody>
    </xdr:sp>
    <xdr:clientData/>
  </xdr:twoCellAnchor>
  <xdr:twoCellAnchor>
    <xdr:from>
      <xdr:col>0</xdr:col>
      <xdr:colOff>303068</xdr:colOff>
      <xdr:row>6</xdr:row>
      <xdr:rowOff>72160</xdr:rowOff>
    </xdr:from>
    <xdr:to>
      <xdr:col>3</xdr:col>
      <xdr:colOff>553357</xdr:colOff>
      <xdr:row>8</xdr:row>
      <xdr:rowOff>101022</xdr:rowOff>
    </xdr:to>
    <xdr:sp macro="" textlink="">
      <xdr:nvSpPr>
        <xdr:cNvPr id="14" name="Rectangle: Rounded Corners 13">
          <a:extLst>
            <a:ext uri="{FF2B5EF4-FFF2-40B4-BE49-F238E27FC236}">
              <a16:creationId xmlns:a16="http://schemas.microsoft.com/office/drawing/2014/main" id="{3F832115-35F4-4046-A6F4-9019C772C1CF}"/>
            </a:ext>
          </a:extLst>
        </xdr:cNvPr>
        <xdr:cNvSpPr/>
      </xdr:nvSpPr>
      <xdr:spPr>
        <a:xfrm>
          <a:off x="303068" y="1369374"/>
          <a:ext cx="2073646" cy="391719"/>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Total</a:t>
          </a:r>
          <a:r>
            <a:rPr lang="en-US" sz="1400" baseline="0">
              <a:solidFill>
                <a:schemeClr val="bg1">
                  <a:lumMod val="95000"/>
                </a:schemeClr>
              </a:solidFill>
              <a:latin typeface="Arial Black" panose="020B0A04020102020204" pitchFamily="34" charset="0"/>
            </a:rPr>
            <a:t>  Employees</a:t>
          </a:r>
          <a:endParaRPr lang="en-US" sz="1400">
            <a:solidFill>
              <a:schemeClr val="bg1">
                <a:lumMod val="95000"/>
              </a:schemeClr>
            </a:solidFill>
            <a:latin typeface="Arial Black" panose="020B0A04020102020204" pitchFamily="34" charset="0"/>
          </a:endParaRPr>
        </a:p>
      </xdr:txBody>
    </xdr:sp>
    <xdr:clientData/>
  </xdr:twoCellAnchor>
  <xdr:twoCellAnchor>
    <xdr:from>
      <xdr:col>0</xdr:col>
      <xdr:colOff>296718</xdr:colOff>
      <xdr:row>9</xdr:row>
      <xdr:rowOff>80242</xdr:rowOff>
    </xdr:from>
    <xdr:to>
      <xdr:col>3</xdr:col>
      <xdr:colOff>412173</xdr:colOff>
      <xdr:row>11</xdr:row>
      <xdr:rowOff>109105</xdr:rowOff>
    </xdr:to>
    <xdr:sp macro="" textlink="">
      <xdr:nvSpPr>
        <xdr:cNvPr id="15" name="Rectangle: Rounded Corners 14">
          <a:extLst>
            <a:ext uri="{FF2B5EF4-FFF2-40B4-BE49-F238E27FC236}">
              <a16:creationId xmlns:a16="http://schemas.microsoft.com/office/drawing/2014/main" id="{D9D86095-D8F8-4A00-8598-90AE7C8BDD7B}"/>
            </a:ext>
          </a:extLst>
        </xdr:cNvPr>
        <xdr:cNvSpPr/>
      </xdr:nvSpPr>
      <xdr:spPr>
        <a:xfrm>
          <a:off x="296718" y="1940792"/>
          <a:ext cx="1944255" cy="397163"/>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Billing</a:t>
          </a:r>
        </a:p>
      </xdr:txBody>
    </xdr:sp>
    <xdr:clientData/>
  </xdr:twoCellAnchor>
  <xdr:twoCellAnchor>
    <xdr:from>
      <xdr:col>0</xdr:col>
      <xdr:colOff>290368</xdr:colOff>
      <xdr:row>12</xdr:row>
      <xdr:rowOff>88324</xdr:rowOff>
    </xdr:from>
    <xdr:to>
      <xdr:col>3</xdr:col>
      <xdr:colOff>405823</xdr:colOff>
      <xdr:row>14</xdr:row>
      <xdr:rowOff>117187</xdr:rowOff>
    </xdr:to>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0EFD5559-8003-410A-AFAC-E4D81351F208}"/>
            </a:ext>
          </a:extLst>
        </xdr:cNvPr>
        <xdr:cNvSpPr/>
      </xdr:nvSpPr>
      <xdr:spPr>
        <a:xfrm>
          <a:off x="290368" y="2501324"/>
          <a:ext cx="1944255" cy="397163"/>
        </a:xfrm>
        <a:prstGeom prst="roundRect">
          <a:avLst>
            <a:gd name="adj" fmla="val 50000"/>
          </a:avLst>
        </a:prstGeom>
        <a:solidFill>
          <a:srgbClr val="3690A8"/>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solidFill>
                <a:schemeClr val="bg1">
                  <a:lumMod val="95000"/>
                </a:schemeClr>
              </a:solidFill>
              <a:latin typeface="Arial Black" panose="020B0A04020102020204" pitchFamily="34" charset="0"/>
            </a:rPr>
            <a:t>Attrition</a:t>
          </a:r>
        </a:p>
      </xdr:txBody>
    </xdr:sp>
    <xdr:clientData/>
  </xdr:twoCellAnchor>
  <xdr:twoCellAnchor>
    <xdr:from>
      <xdr:col>4</xdr:col>
      <xdr:colOff>101024</xdr:colOff>
      <xdr:row>13</xdr:row>
      <xdr:rowOff>158749</xdr:rowOff>
    </xdr:from>
    <xdr:to>
      <xdr:col>9</xdr:col>
      <xdr:colOff>43296</xdr:colOff>
      <xdr:row>24</xdr:row>
      <xdr:rowOff>43294</xdr:rowOff>
    </xdr:to>
    <xdr:sp macro="" textlink="">
      <xdr:nvSpPr>
        <xdr:cNvPr id="19" name="Rectangle: Rounded Corners 18">
          <a:extLst>
            <a:ext uri="{FF2B5EF4-FFF2-40B4-BE49-F238E27FC236}">
              <a16:creationId xmlns:a16="http://schemas.microsoft.com/office/drawing/2014/main" id="{A5ED3345-D39C-41C5-B805-27AD7A72ED2C}"/>
            </a:ext>
          </a:extLst>
        </xdr:cNvPr>
        <xdr:cNvSpPr/>
      </xdr:nvSpPr>
      <xdr:spPr>
        <a:xfrm>
          <a:off x="2539424" y="2755899"/>
          <a:ext cx="2990272" cy="1910195"/>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144318</xdr:colOff>
      <xdr:row>14</xdr:row>
      <xdr:rowOff>28864</xdr:rowOff>
    </xdr:from>
    <xdr:to>
      <xdr:col>9</xdr:col>
      <xdr:colOff>43295</xdr:colOff>
      <xdr:row>24</xdr:row>
      <xdr:rowOff>0</xdr:rowOff>
    </xdr:to>
    <xdr:graphicFrame macro="">
      <xdr:nvGraphicFramePr>
        <xdr:cNvPr id="20" name="Chart 19">
          <a:extLst>
            <a:ext uri="{FF2B5EF4-FFF2-40B4-BE49-F238E27FC236}">
              <a16:creationId xmlns:a16="http://schemas.microsoft.com/office/drawing/2014/main" id="{1F824839-3789-47F8-8313-320953877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80242</xdr:colOff>
      <xdr:row>24</xdr:row>
      <xdr:rowOff>181263</xdr:rowOff>
    </xdr:from>
    <xdr:to>
      <xdr:col>9</xdr:col>
      <xdr:colOff>22514</xdr:colOff>
      <xdr:row>35</xdr:row>
      <xdr:rowOff>65808</xdr:rowOff>
    </xdr:to>
    <xdr:sp macro="" textlink="">
      <xdr:nvSpPr>
        <xdr:cNvPr id="21" name="Rectangle: Rounded Corners 20">
          <a:extLst>
            <a:ext uri="{FF2B5EF4-FFF2-40B4-BE49-F238E27FC236}">
              <a16:creationId xmlns:a16="http://schemas.microsoft.com/office/drawing/2014/main" id="{37C6DDE7-3EF1-4FEA-A849-32127F6E3B17}"/>
            </a:ext>
          </a:extLst>
        </xdr:cNvPr>
        <xdr:cNvSpPr/>
      </xdr:nvSpPr>
      <xdr:spPr>
        <a:xfrm>
          <a:off x="2518642" y="4804063"/>
          <a:ext cx="2990272" cy="1910195"/>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166833</xdr:colOff>
      <xdr:row>14</xdr:row>
      <xdr:rowOff>4372</xdr:rowOff>
    </xdr:from>
    <xdr:to>
      <xdr:col>14</xdr:col>
      <xdr:colOff>109105</xdr:colOff>
      <xdr:row>24</xdr:row>
      <xdr:rowOff>76530</xdr:rowOff>
    </xdr:to>
    <xdr:sp macro="" textlink="">
      <xdr:nvSpPr>
        <xdr:cNvPr id="22" name="Rectangle: Rounded Corners 21">
          <a:extLst>
            <a:ext uri="{FF2B5EF4-FFF2-40B4-BE49-F238E27FC236}">
              <a16:creationId xmlns:a16="http://schemas.microsoft.com/office/drawing/2014/main" id="{B4AD89E5-D86C-4C14-AD76-B7E53B584007}"/>
            </a:ext>
          </a:extLst>
        </xdr:cNvPr>
        <xdr:cNvSpPr/>
      </xdr:nvSpPr>
      <xdr:spPr>
        <a:xfrm>
          <a:off x="5653233" y="2785672"/>
          <a:ext cx="2990272" cy="1913658"/>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160483</xdr:colOff>
      <xdr:row>25</xdr:row>
      <xdr:rowOff>17814</xdr:rowOff>
    </xdr:from>
    <xdr:to>
      <xdr:col>14</xdr:col>
      <xdr:colOff>102755</xdr:colOff>
      <xdr:row>35</xdr:row>
      <xdr:rowOff>89972</xdr:rowOff>
    </xdr:to>
    <xdr:sp macro="" textlink="">
      <xdr:nvSpPr>
        <xdr:cNvPr id="23" name="Rectangle: Rounded Corners 22">
          <a:extLst>
            <a:ext uri="{FF2B5EF4-FFF2-40B4-BE49-F238E27FC236}">
              <a16:creationId xmlns:a16="http://schemas.microsoft.com/office/drawing/2014/main" id="{6710F10F-0BBC-4404-BBAB-F9A960EE2494}"/>
            </a:ext>
          </a:extLst>
        </xdr:cNvPr>
        <xdr:cNvSpPr/>
      </xdr:nvSpPr>
      <xdr:spPr>
        <a:xfrm>
          <a:off x="5646883" y="4824764"/>
          <a:ext cx="2990272" cy="1913658"/>
        </a:xfrm>
        <a:prstGeom prst="roundRect">
          <a:avLst>
            <a:gd name="adj" fmla="val 11482"/>
          </a:avLst>
        </a:prstGeom>
        <a:solidFill>
          <a:schemeClr val="accent5">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181441</xdr:colOff>
      <xdr:row>14</xdr:row>
      <xdr:rowOff>72572</xdr:rowOff>
    </xdr:from>
    <xdr:to>
      <xdr:col>14</xdr:col>
      <xdr:colOff>63512</xdr:colOff>
      <xdr:row>23</xdr:row>
      <xdr:rowOff>172358</xdr:rowOff>
    </xdr:to>
    <xdr:graphicFrame macro="">
      <xdr:nvGraphicFramePr>
        <xdr:cNvPr id="24" name="Chart 23">
          <a:extLst>
            <a:ext uri="{FF2B5EF4-FFF2-40B4-BE49-F238E27FC236}">
              <a16:creationId xmlns:a16="http://schemas.microsoft.com/office/drawing/2014/main" id="{997AA321-D7FB-41D9-BB42-F0C8BCFED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208641</xdr:colOff>
      <xdr:row>25</xdr:row>
      <xdr:rowOff>81644</xdr:rowOff>
    </xdr:from>
    <xdr:to>
      <xdr:col>14</xdr:col>
      <xdr:colOff>54428</xdr:colOff>
      <xdr:row>35</xdr:row>
      <xdr:rowOff>45358</xdr:rowOff>
    </xdr:to>
    <xdr:graphicFrame macro="">
      <xdr:nvGraphicFramePr>
        <xdr:cNvPr id="25" name="Chart 24">
          <a:extLst>
            <a:ext uri="{FF2B5EF4-FFF2-40B4-BE49-F238E27FC236}">
              <a16:creationId xmlns:a16="http://schemas.microsoft.com/office/drawing/2014/main" id="{468CD49C-88B0-4486-98D5-E9B4B6F36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154214</xdr:colOff>
      <xdr:row>25</xdr:row>
      <xdr:rowOff>18142</xdr:rowOff>
    </xdr:from>
    <xdr:to>
      <xdr:col>8</xdr:col>
      <xdr:colOff>535212</xdr:colOff>
      <xdr:row>35</xdr:row>
      <xdr:rowOff>45356</xdr:rowOff>
    </xdr:to>
    <xdr:graphicFrame macro="">
      <xdr:nvGraphicFramePr>
        <xdr:cNvPr id="26" name="Chart 25">
          <a:extLst>
            <a:ext uri="{FF2B5EF4-FFF2-40B4-BE49-F238E27FC236}">
              <a16:creationId xmlns:a16="http://schemas.microsoft.com/office/drawing/2014/main" id="{A8EB41ED-2F3D-41BB-946B-41AB3750B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199572</xdr:colOff>
      <xdr:row>25</xdr:row>
      <xdr:rowOff>4</xdr:rowOff>
    </xdr:from>
    <xdr:to>
      <xdr:col>17</xdr:col>
      <xdr:colOff>205015</xdr:colOff>
      <xdr:row>35</xdr:row>
      <xdr:rowOff>117932</xdr:rowOff>
    </xdr:to>
    <mc:AlternateContent xmlns:mc="http://schemas.openxmlformats.org/markup-compatibility/2006" xmlns:a14="http://schemas.microsoft.com/office/drawing/2010/main">
      <mc:Choice Requires="a14">
        <xdr:graphicFrame macro="">
          <xdr:nvGraphicFramePr>
            <xdr:cNvPr id="27" name="Dept Code 3">
              <a:extLst>
                <a:ext uri="{FF2B5EF4-FFF2-40B4-BE49-F238E27FC236}">
                  <a16:creationId xmlns:a16="http://schemas.microsoft.com/office/drawing/2014/main" id="{A2258CE8-EB13-4517-95E9-6F8228C01B9C}"/>
                </a:ext>
              </a:extLst>
            </xdr:cNvPr>
            <xdr:cNvGraphicFramePr/>
          </xdr:nvGraphicFramePr>
          <xdr:xfrm>
            <a:off x="0" y="0"/>
            <a:ext cx="0" cy="0"/>
          </xdr:xfrm>
          <a:graphic>
            <a:graphicData uri="http://schemas.microsoft.com/office/drawing/2010/slicer">
              <sle:slicer xmlns:sle="http://schemas.microsoft.com/office/drawing/2010/slicer" name="Dept Code 3"/>
            </a:graphicData>
          </a:graphic>
        </xdr:graphicFrame>
      </mc:Choice>
      <mc:Fallback xmlns="">
        <xdr:sp macro="" textlink="">
          <xdr:nvSpPr>
            <xdr:cNvPr id="0" name=""/>
            <xdr:cNvSpPr>
              <a:spLocks noTextEdit="1"/>
            </xdr:cNvSpPr>
          </xdr:nvSpPr>
          <xdr:spPr>
            <a:xfrm>
              <a:off x="8708572" y="4744361"/>
              <a:ext cx="1828800" cy="193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276675</xdr:colOff>
      <xdr:row>13</xdr:row>
      <xdr:rowOff>122464</xdr:rowOff>
    </xdr:from>
    <xdr:to>
      <xdr:col>20</xdr:col>
      <xdr:colOff>72568</xdr:colOff>
      <xdr:row>26</xdr:row>
      <xdr:rowOff>36285</xdr:rowOff>
    </xdr:to>
    <mc:AlternateContent xmlns:mc="http://schemas.openxmlformats.org/markup-compatibility/2006" xmlns:a14="http://schemas.microsoft.com/office/drawing/2010/main">
      <mc:Choice Requires="a14">
        <xdr:graphicFrame macro="">
          <xdr:nvGraphicFramePr>
            <xdr:cNvPr id="28" name="Performance Score 3">
              <a:extLst>
                <a:ext uri="{FF2B5EF4-FFF2-40B4-BE49-F238E27FC236}">
                  <a16:creationId xmlns:a16="http://schemas.microsoft.com/office/drawing/2014/main" id="{EF534CE9-B1DD-469B-9359-DAB659951CA6}"/>
                </a:ext>
              </a:extLst>
            </xdr:cNvPr>
            <xdr:cNvGraphicFramePr/>
          </xdr:nvGraphicFramePr>
          <xdr:xfrm>
            <a:off x="0" y="0"/>
            <a:ext cx="0" cy="0"/>
          </xdr:xfrm>
          <a:graphic>
            <a:graphicData uri="http://schemas.microsoft.com/office/drawing/2010/slicer">
              <sle:slicer xmlns:sle="http://schemas.microsoft.com/office/drawing/2010/slicer" name="Performance Score 3"/>
            </a:graphicData>
          </a:graphic>
        </xdr:graphicFrame>
      </mc:Choice>
      <mc:Fallback xmlns="">
        <xdr:sp macro="" textlink="">
          <xdr:nvSpPr>
            <xdr:cNvPr id="0" name=""/>
            <xdr:cNvSpPr>
              <a:spLocks noTextEdit="1"/>
            </xdr:cNvSpPr>
          </xdr:nvSpPr>
          <xdr:spPr>
            <a:xfrm>
              <a:off x="10609032" y="2689678"/>
              <a:ext cx="1619250" cy="2272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253999</xdr:colOff>
      <xdr:row>5</xdr:row>
      <xdr:rowOff>145143</xdr:rowOff>
    </xdr:from>
    <xdr:to>
      <xdr:col>20</xdr:col>
      <xdr:colOff>45357</xdr:colOff>
      <xdr:row>13</xdr:row>
      <xdr:rowOff>63502</xdr:rowOff>
    </xdr:to>
    <mc:AlternateContent xmlns:mc="http://schemas.openxmlformats.org/markup-compatibility/2006" xmlns:a14="http://schemas.microsoft.com/office/drawing/2010/main">
      <mc:Choice Requires="a14">
        <xdr:graphicFrame macro="">
          <xdr:nvGraphicFramePr>
            <xdr:cNvPr id="29" name="Emplyment Status 3">
              <a:extLst>
                <a:ext uri="{FF2B5EF4-FFF2-40B4-BE49-F238E27FC236}">
                  <a16:creationId xmlns:a16="http://schemas.microsoft.com/office/drawing/2014/main" id="{A64BFB05-2BD1-442E-BE11-860C3F0E1CBA}"/>
                </a:ext>
              </a:extLst>
            </xdr:cNvPr>
            <xdr:cNvGraphicFramePr/>
          </xdr:nvGraphicFramePr>
          <xdr:xfrm>
            <a:off x="0" y="0"/>
            <a:ext cx="0" cy="0"/>
          </xdr:xfrm>
          <a:graphic>
            <a:graphicData uri="http://schemas.microsoft.com/office/drawing/2010/slicer">
              <sle:slicer xmlns:sle="http://schemas.microsoft.com/office/drawing/2010/slicer" name="Emplyment Status 3"/>
            </a:graphicData>
          </a:graphic>
        </xdr:graphicFrame>
      </mc:Choice>
      <mc:Fallback xmlns="">
        <xdr:sp macro="" textlink="">
          <xdr:nvSpPr>
            <xdr:cNvPr id="0" name=""/>
            <xdr:cNvSpPr>
              <a:spLocks noTextEdit="1"/>
            </xdr:cNvSpPr>
          </xdr:nvSpPr>
          <xdr:spPr>
            <a:xfrm>
              <a:off x="10586356" y="1260929"/>
              <a:ext cx="1614715" cy="1369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204107</xdr:colOff>
      <xdr:row>13</xdr:row>
      <xdr:rowOff>131536</xdr:rowOff>
    </xdr:from>
    <xdr:to>
      <xdr:col>17</xdr:col>
      <xdr:colOff>209550</xdr:colOff>
      <xdr:row>24</xdr:row>
      <xdr:rowOff>81642</xdr:rowOff>
    </xdr:to>
    <mc:AlternateContent xmlns:mc="http://schemas.openxmlformats.org/markup-compatibility/2006" xmlns:a14="http://schemas.microsoft.com/office/drawing/2010/main">
      <mc:Choice Requires="a14">
        <xdr:graphicFrame macro="">
          <xdr:nvGraphicFramePr>
            <xdr:cNvPr id="30" name="Department Name 3">
              <a:extLst>
                <a:ext uri="{FF2B5EF4-FFF2-40B4-BE49-F238E27FC236}">
                  <a16:creationId xmlns:a16="http://schemas.microsoft.com/office/drawing/2014/main" id="{51CD341B-FB17-4DC4-84C5-55710481F98C}"/>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8713107" y="2698750"/>
              <a:ext cx="1828800" cy="19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272143</xdr:colOff>
      <xdr:row>26</xdr:row>
      <xdr:rowOff>99786</xdr:rowOff>
    </xdr:from>
    <xdr:to>
      <xdr:col>20</xdr:col>
      <xdr:colOff>54429</xdr:colOff>
      <xdr:row>35</xdr:row>
      <xdr:rowOff>136071</xdr:rowOff>
    </xdr:to>
    <mc:AlternateContent xmlns:mc="http://schemas.openxmlformats.org/markup-compatibility/2006" xmlns:a14="http://schemas.microsoft.com/office/drawing/2010/main">
      <mc:Choice Requires="a14">
        <xdr:graphicFrame macro="">
          <xdr:nvGraphicFramePr>
            <xdr:cNvPr id="31" name="Performance Band 3">
              <a:extLst>
                <a:ext uri="{FF2B5EF4-FFF2-40B4-BE49-F238E27FC236}">
                  <a16:creationId xmlns:a16="http://schemas.microsoft.com/office/drawing/2014/main" id="{6D5F8999-2C61-452D-B2D3-36094DCB65BB}"/>
                </a:ext>
              </a:extLst>
            </xdr:cNvPr>
            <xdr:cNvGraphicFramePr/>
          </xdr:nvGraphicFramePr>
          <xdr:xfrm>
            <a:off x="0" y="0"/>
            <a:ext cx="0" cy="0"/>
          </xdr:xfrm>
          <a:graphic>
            <a:graphicData uri="http://schemas.microsoft.com/office/drawing/2010/slicer">
              <sle:slicer xmlns:sle="http://schemas.microsoft.com/office/drawing/2010/slicer" name="Performance Band 3"/>
            </a:graphicData>
          </a:graphic>
        </xdr:graphicFrame>
      </mc:Choice>
      <mc:Fallback xmlns="">
        <xdr:sp macro="" textlink="">
          <xdr:nvSpPr>
            <xdr:cNvPr id="0" name=""/>
            <xdr:cNvSpPr>
              <a:spLocks noTextEdit="1"/>
            </xdr:cNvSpPr>
          </xdr:nvSpPr>
          <xdr:spPr>
            <a:xfrm>
              <a:off x="10604500" y="5025572"/>
              <a:ext cx="1605643" cy="1669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206169</xdr:colOff>
      <xdr:row>3</xdr:row>
      <xdr:rowOff>79168</xdr:rowOff>
    </xdr:from>
    <xdr:to>
      <xdr:col>6</xdr:col>
      <xdr:colOff>561770</xdr:colOff>
      <xdr:row>8</xdr:row>
      <xdr:rowOff>135412</xdr:rowOff>
    </xdr:to>
    <xdr:pic>
      <xdr:nvPicPr>
        <xdr:cNvPr id="34" name="Picture 33">
          <a:extLst>
            <a:ext uri="{FF2B5EF4-FFF2-40B4-BE49-F238E27FC236}">
              <a16:creationId xmlns:a16="http://schemas.microsoft.com/office/drawing/2014/main" id="{4685E250-3BAC-498E-ACA2-FFB83E8E94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3245098" y="832097"/>
          <a:ext cx="963386" cy="963386"/>
        </a:xfrm>
        <a:prstGeom prst="rect">
          <a:avLst/>
        </a:prstGeom>
        <a:ln>
          <a:noFill/>
        </a:ln>
        <a:effectLst>
          <a:softEdge rad="112500"/>
        </a:effectLst>
      </xdr:spPr>
    </xdr:pic>
    <xdr:clientData/>
  </xdr:twoCellAnchor>
  <xdr:twoCellAnchor editAs="oneCell">
    <xdr:from>
      <xdr:col>9</xdr:col>
      <xdr:colOff>487384</xdr:colOff>
      <xdr:row>4</xdr:row>
      <xdr:rowOff>88240</xdr:rowOff>
    </xdr:from>
    <xdr:to>
      <xdr:col>11</xdr:col>
      <xdr:colOff>622</xdr:colOff>
      <xdr:row>8</xdr:row>
      <xdr:rowOff>84676</xdr:rowOff>
    </xdr:to>
    <xdr:pic>
      <xdr:nvPicPr>
        <xdr:cNvPr id="35" name="Picture 34">
          <a:extLst>
            <a:ext uri="{FF2B5EF4-FFF2-40B4-BE49-F238E27FC236}">
              <a16:creationId xmlns:a16="http://schemas.microsoft.com/office/drawing/2014/main" id="{E2DE9267-D006-4BD9-8D7D-33444BA0C3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5957455" y="1022597"/>
          <a:ext cx="728810" cy="722150"/>
        </a:xfrm>
        <a:prstGeom prst="rect">
          <a:avLst/>
        </a:prstGeom>
        <a:ln>
          <a:noFill/>
        </a:ln>
        <a:effectLst>
          <a:softEdge rad="112500"/>
        </a:effectLst>
      </xdr:spPr>
    </xdr:pic>
    <xdr:clientData/>
  </xdr:twoCellAnchor>
  <xdr:twoCellAnchor editAs="oneCell">
    <xdr:from>
      <xdr:col>13</xdr:col>
      <xdr:colOff>287813</xdr:colOff>
      <xdr:row>3</xdr:row>
      <xdr:rowOff>169883</xdr:rowOff>
    </xdr:from>
    <xdr:to>
      <xdr:col>14</xdr:col>
      <xdr:colOff>562055</xdr:colOff>
      <xdr:row>8</xdr:row>
      <xdr:rowOff>161844</xdr:rowOff>
    </xdr:to>
    <xdr:pic>
      <xdr:nvPicPr>
        <xdr:cNvPr id="37" name="Picture 36">
          <a:extLst>
            <a:ext uri="{FF2B5EF4-FFF2-40B4-BE49-F238E27FC236}">
              <a16:creationId xmlns:a16="http://schemas.microsoft.com/office/drawing/2014/main" id="{568FE6CF-8D8D-4E1E-93C4-0B76DC0E4FF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8189027" y="922812"/>
          <a:ext cx="882028" cy="899103"/>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9.97048171296" createdVersion="8" refreshedVersion="8" minRefreshableVersion="3" recordCount="165" xr:uid="{4E2E3C49-F07D-4F6A-9681-A4A227676B35}">
  <cacheSource type="worksheet">
    <worksheetSource ref="A1:M1048576" sheet="Raw_Employee_Data"/>
  </cacheSource>
  <cacheFields count="13">
    <cacheField name="Emp ID" numFmtId="0">
      <sharedItems containsBlank="1"/>
    </cacheField>
    <cacheField name="First_Name" numFmtId="0">
      <sharedItems containsBlank="1"/>
    </cacheField>
    <cacheField name="Last_Name" numFmtId="0">
      <sharedItems containsBlank="1"/>
    </cacheField>
    <cacheField name="Dept Code" numFmtId="0">
      <sharedItems containsBlank="1" count="7">
        <s v="IT02"/>
        <s v="MKT04"/>
        <s v="FIN03"/>
        <s v="OPS06"/>
        <s v="SAL05"/>
        <s v="HR01"/>
        <m/>
      </sharedItems>
    </cacheField>
    <cacheField name="Hire Date" numFmtId="165">
      <sharedItems containsNonDate="0" containsDate="1" containsString="0" containsBlank="1" minDate="2015-02-09T00:00:00" maxDate="2023-12-13T00:00:00"/>
    </cacheField>
    <cacheField name="Salary" numFmtId="0">
      <sharedItems containsString="0" containsBlank="1" containsNumber="1" minValue="45196" maxValue="118947"/>
    </cacheField>
    <cacheField name="Performance Score" numFmtId="0">
      <sharedItems containsString="0" containsBlank="1" containsNumber="1" containsInteger="1" minValue="30" maxValue="99" count="59">
        <n v="52"/>
        <n v="68"/>
        <n v="54"/>
        <n v="70"/>
        <n v="40"/>
        <n v="49"/>
        <n v="45"/>
        <n v="79"/>
        <n v="58"/>
        <n v="62"/>
        <n v="48"/>
        <n v="77"/>
        <n v="42"/>
        <n v="93"/>
        <n v="75"/>
        <n v="50"/>
        <n v="88"/>
        <n v="64"/>
        <n v="32"/>
        <n v="59"/>
        <n v="90"/>
        <n v="66"/>
        <n v="80"/>
        <n v="72"/>
        <n v="78"/>
        <n v="30"/>
        <n v="98"/>
        <n v="71"/>
        <n v="55"/>
        <n v="76"/>
        <n v="84"/>
        <n v="53"/>
        <n v="63"/>
        <n v="96"/>
        <n v="95"/>
        <n v="33"/>
        <n v="91"/>
        <n v="46"/>
        <n v="99"/>
        <n v="87"/>
        <n v="36"/>
        <n v="97"/>
        <n v="65"/>
        <n v="67"/>
        <n v="34"/>
        <n v="61"/>
        <n v="74"/>
        <n v="94"/>
        <n v="81"/>
        <n v="57"/>
        <n v="69"/>
        <n v="51"/>
        <n v="82"/>
        <n v="83"/>
        <n v="38"/>
        <n v="35"/>
        <n v="92"/>
        <n v="73"/>
        <m/>
      </sharedItems>
    </cacheField>
    <cacheField name="Emplyment Status" numFmtId="0">
      <sharedItems containsBlank="1" count="4">
        <s v="Active"/>
        <s v="Left"/>
        <s v="Resigned"/>
        <m/>
      </sharedItems>
    </cacheField>
    <cacheField name="Full Name" numFmtId="0">
      <sharedItems containsBlank="1"/>
    </cacheField>
    <cacheField name="Department Name" numFmtId="0">
      <sharedItems containsBlank="1" count="7">
        <s v="Information Technology"/>
        <s v="Marketing"/>
        <s v="Finance"/>
        <s v="Operations"/>
        <s v="Sales"/>
        <s v="Human Resources"/>
        <m/>
      </sharedItems>
    </cacheField>
    <cacheField name="Years of Service" numFmtId="0">
      <sharedItems containsString="0" containsBlank="1" containsNumber="1" containsInteger="1" minValue="2" maxValue="11"/>
    </cacheField>
    <cacheField name="Performance Band" numFmtId="0">
      <sharedItems containsBlank="1" count="6">
        <s v="Developing"/>
        <s v="Achieving"/>
        <s v="Needs Improvement"/>
        <s v="Exceeding"/>
        <s v="Outstanding"/>
        <m/>
      </sharedItems>
    </cacheField>
    <cacheField name="Eligible Amount Bonus" numFmtId="0">
      <sharedItems containsString="0" containsBlank="1" containsNumber="1" minValue="0" maxValue="14273.64"/>
    </cacheField>
  </cacheFields>
  <extLst>
    <ext xmlns:x14="http://schemas.microsoft.com/office/spreadsheetml/2009/9/main" uri="{725AE2AE-9491-48be-B2B4-4EB974FC3084}">
      <x14:pivotCacheDefinition pivotCacheId="430536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s v="EMP127"/>
    <s v="Emily"/>
    <s v="Brown"/>
    <x v="0"/>
    <d v="2017-12-24T00:00:00"/>
    <n v="50361"/>
    <x v="0"/>
    <x v="0"/>
    <s v="Emily Brown"/>
    <x v="0"/>
    <n v="8"/>
    <x v="0"/>
    <n v="1007.22"/>
  </r>
  <r>
    <s v="EMP046"/>
    <s v="Richard"/>
    <s v="Hernandez"/>
    <x v="1"/>
    <d v="2022-08-04T00:00:00"/>
    <n v="112673"/>
    <x v="1"/>
    <x v="1"/>
    <s v="Richard Hernandez"/>
    <x v="1"/>
    <n v="3"/>
    <x v="0"/>
    <n v="2253.46"/>
  </r>
  <r>
    <s v="EMP134"/>
    <s v="Emily"/>
    <s v="Gonzalez"/>
    <x v="0"/>
    <d v="2016-02-03T00:00:00"/>
    <n v="114425"/>
    <x v="2"/>
    <x v="0"/>
    <s v="Emily Gonzalez"/>
    <x v="0"/>
    <n v="10"/>
    <x v="0"/>
    <n v="2288.5"/>
  </r>
  <r>
    <s v="EMP139"/>
    <s v="John"/>
    <s v="Martinez"/>
    <x v="2"/>
    <d v="2023-03-07T00:00:00"/>
    <n v="103831"/>
    <x v="3"/>
    <x v="1"/>
    <s v="John Martinez"/>
    <x v="2"/>
    <n v="3"/>
    <x v="1"/>
    <n v="5191.55"/>
  </r>
  <r>
    <s v="EMP112"/>
    <s v="Thomas"/>
    <s v="Smith"/>
    <x v="0"/>
    <d v="2023-02-20T00:00:00"/>
    <n v="73785"/>
    <x v="4"/>
    <x v="0"/>
    <s v="Thomas Smith"/>
    <x v="0"/>
    <n v="3"/>
    <x v="2"/>
    <n v="0"/>
  </r>
  <r>
    <s v="EMP030"/>
    <s v="Emily"/>
    <s v="Johnson"/>
    <x v="3"/>
    <d v="2020-03-02T00:00:00"/>
    <n v="115882"/>
    <x v="5"/>
    <x v="1"/>
    <s v="Emily Johnson"/>
    <x v="3"/>
    <n v="6"/>
    <x v="2"/>
    <n v="0"/>
  </r>
  <r>
    <s v="EMP096"/>
    <s v="John"/>
    <s v="Wilson"/>
    <x v="3"/>
    <d v="2023-12-12T00:00:00"/>
    <n v="59980"/>
    <x v="3"/>
    <x v="0"/>
    <s v="John Wilson"/>
    <x v="3"/>
    <n v="2"/>
    <x v="1"/>
    <n v="2999"/>
  </r>
  <r>
    <s v="EMP098"/>
    <s v="Jessica"/>
    <s v="Smith"/>
    <x v="3"/>
    <d v="2020-09-12T00:00:00"/>
    <n v="68728"/>
    <x v="6"/>
    <x v="0"/>
    <s v="Jessica Smith"/>
    <x v="3"/>
    <n v="5"/>
    <x v="2"/>
    <n v="0"/>
  </r>
  <r>
    <s v="EMP095"/>
    <s v="Emily"/>
    <s v="Rodriguez"/>
    <x v="2"/>
    <d v="2018-07-01T00:00:00"/>
    <n v="102139"/>
    <x v="7"/>
    <x v="0"/>
    <s v="Emily Rodriguez"/>
    <x v="2"/>
    <n v="8"/>
    <x v="1"/>
    <n v="5106.9500000000007"/>
  </r>
  <r>
    <s v="EMP140"/>
    <s v="Michael"/>
    <s v="Martinez"/>
    <x v="4"/>
    <d v="2016-02-11T00:00:00"/>
    <n v="94998"/>
    <x v="8"/>
    <x v="0"/>
    <s v="Michael Martinez"/>
    <x v="4"/>
    <n v="10"/>
    <x v="0"/>
    <n v="1899.96"/>
  </r>
  <r>
    <s v="EMP020"/>
    <s v="Emily"/>
    <s v="Miller"/>
    <x v="4"/>
    <d v="2020-03-21T00:00:00"/>
    <n v="118635"/>
    <x v="5"/>
    <x v="0"/>
    <s v="Emily Miller"/>
    <x v="4"/>
    <n v="6"/>
    <x v="2"/>
    <n v="0"/>
  </r>
  <r>
    <s v="EMP057"/>
    <s v="Emily"/>
    <s v="Hernandez"/>
    <x v="0"/>
    <d v="2016-02-25T00:00:00"/>
    <n v="76918"/>
    <x v="9"/>
    <x v="0"/>
    <s v="Emily Hernandez"/>
    <x v="0"/>
    <n v="10"/>
    <x v="0"/>
    <n v="1538.3600000000001"/>
  </r>
  <r>
    <s v="EMP016"/>
    <s v="Jane"/>
    <s v="Williams"/>
    <x v="1"/>
    <d v="2021-06-17T00:00:00"/>
    <n v="61408"/>
    <x v="10"/>
    <x v="0"/>
    <s v="Jane Williams"/>
    <x v="1"/>
    <n v="5"/>
    <x v="2"/>
    <n v="0"/>
  </r>
  <r>
    <s v="EMP070"/>
    <s v="Jane"/>
    <s v="Miller"/>
    <x v="1"/>
    <d v="2020-06-19T00:00:00"/>
    <n v="99990"/>
    <x v="2"/>
    <x v="0"/>
    <s v="Jane Miller"/>
    <x v="1"/>
    <n v="6"/>
    <x v="0"/>
    <n v="1999.8"/>
  </r>
  <r>
    <s v="EMP025"/>
    <s v="Robert"/>
    <s v="Jones"/>
    <x v="1"/>
    <d v="2019-12-21T00:00:00"/>
    <n v="80385"/>
    <x v="1"/>
    <x v="0"/>
    <s v="Robert Jones"/>
    <x v="1"/>
    <n v="6"/>
    <x v="0"/>
    <n v="1607.7"/>
  </r>
  <r>
    <s v="EMP031"/>
    <s v="Thomas"/>
    <s v="Rodriguez"/>
    <x v="4"/>
    <d v="2023-08-31T00:00:00"/>
    <n v="65290"/>
    <x v="11"/>
    <x v="0"/>
    <s v="Thomas Rodriguez"/>
    <x v="4"/>
    <n v="2"/>
    <x v="1"/>
    <n v="3264.5"/>
  </r>
  <r>
    <s v="EMP126"/>
    <s v="Emily"/>
    <s v="Davis"/>
    <x v="0"/>
    <d v="2015-11-29T00:00:00"/>
    <n v="105765"/>
    <x v="12"/>
    <x v="0"/>
    <s v="Emily Davis"/>
    <x v="0"/>
    <n v="10"/>
    <x v="2"/>
    <n v="0"/>
  </r>
  <r>
    <s v="EMP109"/>
    <s v="James"/>
    <s v="Martinez"/>
    <x v="4"/>
    <d v="2017-06-13T00:00:00"/>
    <n v="102921"/>
    <x v="5"/>
    <x v="0"/>
    <s v="James Martinez"/>
    <x v="4"/>
    <n v="9"/>
    <x v="2"/>
    <n v="0"/>
  </r>
  <r>
    <s v="EMP066"/>
    <s v="Ashley"/>
    <s v="Lopez"/>
    <x v="1"/>
    <d v="2016-02-25T00:00:00"/>
    <n v="73984"/>
    <x v="13"/>
    <x v="0"/>
    <s v="Ashley Lopez"/>
    <x v="1"/>
    <n v="10"/>
    <x v="3"/>
    <n v="5918.72"/>
  </r>
  <r>
    <s v="EMP120"/>
    <s v="Amanda"/>
    <s v="Gonzalez"/>
    <x v="0"/>
    <d v="2018-05-15T00:00:00"/>
    <n v="82713.429999999993"/>
    <x v="14"/>
    <x v="0"/>
    <s v="Amanda Gonzalez"/>
    <x v="0"/>
    <n v="8"/>
    <x v="1"/>
    <n v="4135.6714999999995"/>
  </r>
  <r>
    <s v="EMP019"/>
    <s v="Michael"/>
    <s v="Hernandez"/>
    <x v="2"/>
    <d v="2016-07-24T00:00:00"/>
    <n v="118527"/>
    <x v="15"/>
    <x v="0"/>
    <s v="Michael Hernandez"/>
    <x v="2"/>
    <n v="9"/>
    <x v="0"/>
    <n v="2370.54"/>
  </r>
  <r>
    <s v="EMP013"/>
    <s v="Richard"/>
    <s v="Hernandez"/>
    <x v="1"/>
    <d v="2017-07-12T00:00:00"/>
    <n v="107871"/>
    <x v="16"/>
    <x v="1"/>
    <s v="Richard Hernandez"/>
    <x v="1"/>
    <n v="8"/>
    <x v="3"/>
    <n v="8629.68"/>
  </r>
  <r>
    <s v="EMP010"/>
    <s v="Michael"/>
    <s v="Rodriguez"/>
    <x v="0"/>
    <d v="2021-06-06T00:00:00"/>
    <n v="93956"/>
    <x v="15"/>
    <x v="0"/>
    <s v="Michael Rodriguez"/>
    <x v="0"/>
    <n v="5"/>
    <x v="0"/>
    <n v="1879.1200000000001"/>
  </r>
  <r>
    <s v="EMP032"/>
    <s v="Jessica"/>
    <s v="Johnson"/>
    <x v="2"/>
    <d v="2022-11-09T00:00:00"/>
    <n v="100851"/>
    <x v="17"/>
    <x v="0"/>
    <s v="Jessica Johnson"/>
    <x v="2"/>
    <n v="3"/>
    <x v="0"/>
    <n v="2017.02"/>
  </r>
  <r>
    <s v="EMP082"/>
    <s v="Ashley"/>
    <s v="Williams"/>
    <x v="4"/>
    <d v="2016-07-14T00:00:00"/>
    <n v="68655"/>
    <x v="18"/>
    <x v="0"/>
    <s v="Ashley Williams"/>
    <x v="4"/>
    <n v="9"/>
    <x v="2"/>
    <n v="0"/>
  </r>
  <r>
    <s v="EMP052"/>
    <s v="Emily"/>
    <s v="Williams"/>
    <x v="4"/>
    <d v="2022-06-16T00:00:00"/>
    <n v="81205"/>
    <x v="19"/>
    <x v="0"/>
    <s v="Emily Williams"/>
    <x v="4"/>
    <n v="4"/>
    <x v="0"/>
    <n v="1624.1000000000001"/>
  </r>
  <r>
    <s v="EMP129"/>
    <s v="John"/>
    <s v="Wilson"/>
    <x v="4"/>
    <d v="2023-07-27T00:00:00"/>
    <n v="77610"/>
    <x v="16"/>
    <x v="0"/>
    <s v="John Wilson"/>
    <x v="4"/>
    <n v="2"/>
    <x v="3"/>
    <n v="6208.8"/>
  </r>
  <r>
    <s v="EMP146"/>
    <s v="Thomas"/>
    <s v="Rodriguez"/>
    <x v="0"/>
    <d v="2019-09-24T00:00:00"/>
    <n v="50873"/>
    <x v="20"/>
    <x v="0"/>
    <s v="Thomas Rodriguez"/>
    <x v="0"/>
    <n v="6"/>
    <x v="3"/>
    <n v="4069.84"/>
  </r>
  <r>
    <s v="EMP099"/>
    <s v="Michael"/>
    <s v="Wilson"/>
    <x v="2"/>
    <d v="2022-07-23T00:00:00"/>
    <n v="85312"/>
    <x v="21"/>
    <x v="0"/>
    <s v="Michael Wilson"/>
    <x v="2"/>
    <n v="3"/>
    <x v="0"/>
    <n v="1706.24"/>
  </r>
  <r>
    <s v="EMP015"/>
    <s v="John"/>
    <s v="Rodriguez"/>
    <x v="4"/>
    <d v="2018-05-13T00:00:00"/>
    <n v="82713.429999999993"/>
    <x v="1"/>
    <x v="0"/>
    <s v="John Rodriguez"/>
    <x v="4"/>
    <n v="8"/>
    <x v="0"/>
    <n v="1654.2685999999999"/>
  </r>
  <r>
    <s v="EMP076"/>
    <s v="Thomas"/>
    <s v="Hernandez"/>
    <x v="3"/>
    <d v="2015-07-17T00:00:00"/>
    <n v="97055"/>
    <x v="22"/>
    <x v="0"/>
    <s v="Thomas Hernandez"/>
    <x v="3"/>
    <n v="10"/>
    <x v="1"/>
    <n v="4852.75"/>
  </r>
  <r>
    <s v="EMP137"/>
    <s v="Michael"/>
    <s v="Johnson"/>
    <x v="0"/>
    <d v="2015-08-05T00:00:00"/>
    <n v="66069"/>
    <x v="23"/>
    <x v="0"/>
    <s v="Michael Johnson"/>
    <x v="0"/>
    <n v="10"/>
    <x v="1"/>
    <n v="3303.4500000000003"/>
  </r>
  <r>
    <s v="EMP056"/>
    <s v="Sarah"/>
    <s v="Brown"/>
    <x v="0"/>
    <d v="2023-09-26T00:00:00"/>
    <n v="90157"/>
    <x v="8"/>
    <x v="0"/>
    <s v="Sarah Brown"/>
    <x v="0"/>
    <n v="2"/>
    <x v="0"/>
    <n v="1803.14"/>
  </r>
  <r>
    <s v="EMP125"/>
    <s v="Jane"/>
    <s v="Martinez"/>
    <x v="5"/>
    <d v="2019-06-10T00:00:00"/>
    <n v="59899"/>
    <x v="24"/>
    <x v="0"/>
    <s v="Jane Martinez"/>
    <x v="5"/>
    <n v="7"/>
    <x v="1"/>
    <n v="2994.9500000000003"/>
  </r>
  <r>
    <s v="EMP085"/>
    <s v="Emily"/>
    <s v="Jones"/>
    <x v="2"/>
    <d v="2022-01-17T00:00:00"/>
    <n v="113389"/>
    <x v="25"/>
    <x v="0"/>
    <s v="Emily Jones"/>
    <x v="2"/>
    <n v="4"/>
    <x v="2"/>
    <n v="0"/>
  </r>
  <r>
    <s v="EMP106"/>
    <s v="Emily"/>
    <s v="Brown"/>
    <x v="0"/>
    <d v="2017-07-03T00:00:00"/>
    <n v="102691"/>
    <x v="0"/>
    <x v="0"/>
    <s v="Emily Brown"/>
    <x v="0"/>
    <n v="9"/>
    <x v="0"/>
    <n v="2053.8200000000002"/>
  </r>
  <r>
    <s v="EMP043"/>
    <s v="John"/>
    <s v="Wilson"/>
    <x v="3"/>
    <d v="2015-09-01T00:00:00"/>
    <n v="111845"/>
    <x v="26"/>
    <x v="0"/>
    <s v="John Wilson"/>
    <x v="3"/>
    <n v="10"/>
    <x v="4"/>
    <n v="13421.4"/>
  </r>
  <r>
    <s v="EMP068"/>
    <s v="Melissa"/>
    <s v="Brown"/>
    <x v="4"/>
    <d v="2022-08-03T00:00:00"/>
    <n v="69219"/>
    <x v="13"/>
    <x v="1"/>
    <s v="Melissa Brown"/>
    <x v="4"/>
    <n v="3"/>
    <x v="3"/>
    <n v="5537.52"/>
  </r>
  <r>
    <s v="EMP128"/>
    <s v="Michael"/>
    <s v="Smith"/>
    <x v="2"/>
    <d v="2022-06-29T00:00:00"/>
    <n v="82713.429999999993"/>
    <x v="22"/>
    <x v="0"/>
    <s v="Michael Smith"/>
    <x v="2"/>
    <n v="4"/>
    <x v="1"/>
    <n v="4135.6714999999995"/>
  </r>
  <r>
    <s v="EMP027"/>
    <s v="Sarah"/>
    <s v="Miller"/>
    <x v="3"/>
    <d v="2020-04-28T00:00:00"/>
    <n v="57514"/>
    <x v="1"/>
    <x v="1"/>
    <s v="Sarah Miller"/>
    <x v="3"/>
    <n v="6"/>
    <x v="0"/>
    <n v="1150.28"/>
  </r>
  <r>
    <s v="EMP136"/>
    <s v="Emily"/>
    <s v="Wilson"/>
    <x v="4"/>
    <d v="2017-09-09T00:00:00"/>
    <n v="86245"/>
    <x v="27"/>
    <x v="0"/>
    <s v="Emily Wilson"/>
    <x v="4"/>
    <n v="8"/>
    <x v="1"/>
    <n v="4312.25"/>
  </r>
  <r>
    <s v="EMP079"/>
    <s v="David"/>
    <s v="Hernandez"/>
    <x v="4"/>
    <d v="2018-03-22T00:00:00"/>
    <n v="52407"/>
    <x v="28"/>
    <x v="2"/>
    <s v="David Hernandez"/>
    <x v="4"/>
    <n v="8"/>
    <x v="0"/>
    <n v="1048.1400000000001"/>
  </r>
  <r>
    <s v="EMP149"/>
    <s v="James"/>
    <s v="Smith"/>
    <x v="3"/>
    <d v="2020-07-05T00:00:00"/>
    <n v="66606"/>
    <x v="13"/>
    <x v="2"/>
    <s v="James Smith"/>
    <x v="3"/>
    <n v="6"/>
    <x v="3"/>
    <n v="5328.4800000000005"/>
  </r>
  <r>
    <s v="EMP037"/>
    <s v="Sarah"/>
    <s v="Williams"/>
    <x v="0"/>
    <d v="2019-03-25T00:00:00"/>
    <n v="81896"/>
    <x v="7"/>
    <x v="0"/>
    <s v="Sarah Williams"/>
    <x v="0"/>
    <n v="7"/>
    <x v="1"/>
    <n v="4094.8"/>
  </r>
  <r>
    <s v="EMP077"/>
    <s v="Amanda"/>
    <s v="Lopez"/>
    <x v="4"/>
    <d v="2019-09-08T00:00:00"/>
    <n v="78402"/>
    <x v="2"/>
    <x v="0"/>
    <s v="Amanda Lopez"/>
    <x v="4"/>
    <n v="6"/>
    <x v="0"/>
    <n v="1568.04"/>
  </r>
  <r>
    <s v="EMP023"/>
    <s v="Thomas"/>
    <s v="Lopez"/>
    <x v="3"/>
    <d v="2016-07-14T00:00:00"/>
    <n v="105498"/>
    <x v="29"/>
    <x v="1"/>
    <s v="Thomas Lopez"/>
    <x v="3"/>
    <n v="9"/>
    <x v="1"/>
    <n v="5274.9000000000005"/>
  </r>
  <r>
    <s v="EMP133"/>
    <s v="Melissa"/>
    <s v="Johnson"/>
    <x v="1"/>
    <d v="2016-04-10T00:00:00"/>
    <n v="91749"/>
    <x v="23"/>
    <x v="2"/>
    <s v="Melissa Johnson"/>
    <x v="1"/>
    <n v="10"/>
    <x v="1"/>
    <n v="4587.45"/>
  </r>
  <r>
    <s v="EMP141"/>
    <s v="Amanda"/>
    <s v="Johnson"/>
    <x v="3"/>
    <d v="2019-07-10T00:00:00"/>
    <n v="99935"/>
    <x v="30"/>
    <x v="1"/>
    <s v="Amanda Johnson"/>
    <x v="3"/>
    <n v="6"/>
    <x v="1"/>
    <n v="4996.75"/>
  </r>
  <r>
    <s v="EMP012"/>
    <s v="John"/>
    <s v="Davis"/>
    <x v="0"/>
    <d v="2021-08-29T00:00:00"/>
    <n v="83531"/>
    <x v="25"/>
    <x v="0"/>
    <s v="John Davis"/>
    <x v="0"/>
    <n v="4"/>
    <x v="2"/>
    <n v="0"/>
  </r>
  <r>
    <s v="EMP080"/>
    <s v="James"/>
    <s v="Johnson"/>
    <x v="1"/>
    <d v="2017-01-26T00:00:00"/>
    <n v="75023"/>
    <x v="1"/>
    <x v="0"/>
    <s v="James Johnson"/>
    <x v="1"/>
    <n v="9"/>
    <x v="0"/>
    <n v="1500.46"/>
  </r>
  <r>
    <s v="EMP069"/>
    <s v="Jane"/>
    <s v="Davis"/>
    <x v="5"/>
    <d v="2020-05-30T00:00:00"/>
    <n v="93290"/>
    <x v="31"/>
    <x v="2"/>
    <s v="Jane Davis"/>
    <x v="5"/>
    <n v="6"/>
    <x v="0"/>
    <n v="1865.8"/>
  </r>
  <r>
    <s v="EMP150"/>
    <s v="Richard"/>
    <s v="Davis"/>
    <x v="3"/>
    <d v="2022-02-20T00:00:00"/>
    <n v="115527"/>
    <x v="32"/>
    <x v="0"/>
    <s v="Richard Davis"/>
    <x v="3"/>
    <n v="4"/>
    <x v="0"/>
    <n v="2310.54"/>
  </r>
  <r>
    <s v="EMP028"/>
    <s v="Thomas"/>
    <s v="Rodriguez"/>
    <x v="2"/>
    <d v="2016-09-15T00:00:00"/>
    <n v="55920"/>
    <x v="30"/>
    <x v="0"/>
    <s v="Thomas Rodriguez"/>
    <x v="2"/>
    <n v="9"/>
    <x v="1"/>
    <n v="2796"/>
  </r>
  <r>
    <s v="EMP087"/>
    <s v="Emily"/>
    <s v="Johnson"/>
    <x v="4"/>
    <d v="2019-07-10T00:00:00"/>
    <n v="80189"/>
    <x v="25"/>
    <x v="0"/>
    <s v="Emily Johnson"/>
    <x v="4"/>
    <n v="6"/>
    <x v="2"/>
    <n v="0"/>
  </r>
  <r>
    <s v="EMP119"/>
    <s v="Emily"/>
    <s v="Garcia"/>
    <x v="5"/>
    <d v="2018-12-30T00:00:00"/>
    <n v="118947"/>
    <x v="33"/>
    <x v="0"/>
    <s v="Emily Garcia"/>
    <x v="5"/>
    <n v="7"/>
    <x v="4"/>
    <n v="14273.64"/>
  </r>
  <r>
    <s v="EMP042"/>
    <s v="Jane"/>
    <s v="Anderson"/>
    <x v="0"/>
    <d v="2020-12-24T00:00:00"/>
    <n v="82713.429999999993"/>
    <x v="2"/>
    <x v="0"/>
    <s v="Jane Anderson"/>
    <x v="0"/>
    <n v="5"/>
    <x v="0"/>
    <n v="1654.2685999999999"/>
  </r>
  <r>
    <s v="EMP005"/>
    <s v="Thomas"/>
    <s v="Garcia"/>
    <x v="3"/>
    <d v="2023-05-07T00:00:00"/>
    <n v="82713.429999999993"/>
    <x v="14"/>
    <x v="0"/>
    <s v="Thomas Garcia"/>
    <x v="3"/>
    <n v="3"/>
    <x v="1"/>
    <n v="4135.6714999999995"/>
  </r>
  <r>
    <s v="EMP033"/>
    <s v="David"/>
    <s v="Martinez"/>
    <x v="5"/>
    <d v="2020-11-13T00:00:00"/>
    <n v="91655"/>
    <x v="34"/>
    <x v="1"/>
    <s v="David Martinez"/>
    <x v="5"/>
    <n v="5"/>
    <x v="4"/>
    <n v="10998.6"/>
  </r>
  <r>
    <s v="EMP061"/>
    <s v="Emily"/>
    <s v="Brown"/>
    <x v="0"/>
    <d v="2018-07-02T00:00:00"/>
    <n v="49435"/>
    <x v="1"/>
    <x v="0"/>
    <s v="Emily Brown"/>
    <x v="0"/>
    <n v="8"/>
    <x v="0"/>
    <n v="988.7"/>
  </r>
  <r>
    <s v="EMP102"/>
    <s v="Emily"/>
    <s v="Wilson"/>
    <x v="4"/>
    <d v="2023-11-25T00:00:00"/>
    <n v="110381"/>
    <x v="13"/>
    <x v="0"/>
    <s v="Emily Wilson"/>
    <x v="4"/>
    <n v="2"/>
    <x v="3"/>
    <n v="8830.48"/>
  </r>
  <r>
    <s v="EMP067"/>
    <s v="Michael"/>
    <s v="Anderson"/>
    <x v="5"/>
    <d v="2023-10-18T00:00:00"/>
    <n v="114748"/>
    <x v="35"/>
    <x v="0"/>
    <s v="Michael Anderson"/>
    <x v="5"/>
    <n v="2"/>
    <x v="2"/>
    <n v="0"/>
  </r>
  <r>
    <s v="EMP017"/>
    <s v="Robert"/>
    <s v="Johnson"/>
    <x v="3"/>
    <d v="2020-05-09T00:00:00"/>
    <n v="63302"/>
    <x v="36"/>
    <x v="0"/>
    <s v="Robert Johnson"/>
    <x v="3"/>
    <n v="6"/>
    <x v="3"/>
    <n v="5064.16"/>
  </r>
  <r>
    <s v="EMP123"/>
    <s v="Robert"/>
    <s v="Miller"/>
    <x v="0"/>
    <d v="2017-06-03T00:00:00"/>
    <n v="75519"/>
    <x v="17"/>
    <x v="0"/>
    <s v="Robert Miller"/>
    <x v="0"/>
    <n v="9"/>
    <x v="0"/>
    <n v="1510.38"/>
  </r>
  <r>
    <s v="EMP011"/>
    <s v="Jane"/>
    <s v="Davis"/>
    <x v="2"/>
    <d v="2015-04-28T00:00:00"/>
    <n v="103891"/>
    <x v="22"/>
    <x v="1"/>
    <s v="Jane Davis"/>
    <x v="2"/>
    <n v="11"/>
    <x v="1"/>
    <n v="5194.55"/>
  </r>
  <r>
    <s v="EMP091"/>
    <s v="Thomas"/>
    <s v="Davis"/>
    <x v="3"/>
    <d v="2017-04-13T00:00:00"/>
    <n v="82713.429999999993"/>
    <x v="37"/>
    <x v="0"/>
    <s v="Thomas Davis"/>
    <x v="3"/>
    <n v="9"/>
    <x v="2"/>
    <n v="0"/>
  </r>
  <r>
    <s v="EMP145"/>
    <s v="Thomas"/>
    <s v="Jones"/>
    <x v="1"/>
    <d v="2022-09-23T00:00:00"/>
    <n v="50936"/>
    <x v="38"/>
    <x v="0"/>
    <s v="Thomas Jones"/>
    <x v="1"/>
    <n v="3"/>
    <x v="4"/>
    <n v="6112.32"/>
  </r>
  <r>
    <s v="EMP001"/>
    <s v="Michael"/>
    <s v="Miller"/>
    <x v="4"/>
    <d v="2016-11-11T00:00:00"/>
    <n v="111240"/>
    <x v="1"/>
    <x v="2"/>
    <s v="Michael Miller"/>
    <x v="4"/>
    <n v="9"/>
    <x v="0"/>
    <n v="2224.8000000000002"/>
  </r>
  <r>
    <s v="EMP113"/>
    <s v="Richard"/>
    <s v="Gonzalez"/>
    <x v="5"/>
    <d v="2017-03-24T00:00:00"/>
    <n v="51567"/>
    <x v="39"/>
    <x v="0"/>
    <s v="Richard Gonzalez"/>
    <x v="5"/>
    <n v="9"/>
    <x v="3"/>
    <n v="4125.3599999999997"/>
  </r>
  <r>
    <s v="EMP065"/>
    <s v="Melissa"/>
    <s v="Williams"/>
    <x v="5"/>
    <d v="2019-05-05T00:00:00"/>
    <n v="82713.429999999993"/>
    <x v="40"/>
    <x v="0"/>
    <s v="Melissa Williams"/>
    <x v="5"/>
    <n v="7"/>
    <x v="2"/>
    <n v="0"/>
  </r>
  <r>
    <s v="EMP045"/>
    <s v="Robert"/>
    <s v="Miller"/>
    <x v="5"/>
    <d v="2021-07-25T00:00:00"/>
    <n v="55270"/>
    <x v="39"/>
    <x v="0"/>
    <s v="Robert Miller"/>
    <x v="5"/>
    <n v="4"/>
    <x v="3"/>
    <n v="4421.6000000000004"/>
  </r>
  <r>
    <s v="EMP083"/>
    <s v="William"/>
    <s v="Garcia"/>
    <x v="4"/>
    <d v="2017-09-30T00:00:00"/>
    <n v="65235"/>
    <x v="41"/>
    <x v="1"/>
    <s v="William Garcia"/>
    <x v="4"/>
    <n v="8"/>
    <x v="4"/>
    <n v="7828.2"/>
  </r>
  <r>
    <s v="EMP029"/>
    <s v="John"/>
    <s v="Gonzalez"/>
    <x v="4"/>
    <d v="2015-07-07T00:00:00"/>
    <n v="82713.429999999993"/>
    <x v="23"/>
    <x v="1"/>
    <s v="John Gonzalez"/>
    <x v="4"/>
    <n v="10"/>
    <x v="1"/>
    <n v="4135.6714999999995"/>
  </r>
  <r>
    <s v="EMP041"/>
    <s v="James"/>
    <s v="Gonzalez"/>
    <x v="4"/>
    <d v="2018-02-07T00:00:00"/>
    <n v="82713.429999999993"/>
    <x v="42"/>
    <x v="0"/>
    <s v="James Gonzalez"/>
    <x v="4"/>
    <n v="8"/>
    <x v="0"/>
    <n v="1654.2685999999999"/>
  </r>
  <r>
    <s v="EMP026"/>
    <s v="Jane"/>
    <s v="Gonzalez"/>
    <x v="4"/>
    <d v="2022-09-15T00:00:00"/>
    <n v="82713.429999999993"/>
    <x v="43"/>
    <x v="0"/>
    <s v="Jane Gonzalez"/>
    <x v="4"/>
    <n v="3"/>
    <x v="0"/>
    <n v="1654.2685999999999"/>
  </r>
  <r>
    <s v="EMP024"/>
    <s v="David"/>
    <s v="Wilson"/>
    <x v="3"/>
    <d v="2017-06-03T00:00:00"/>
    <n v="48823"/>
    <x v="44"/>
    <x v="1"/>
    <s v="David Wilson"/>
    <x v="3"/>
    <n v="9"/>
    <x v="2"/>
    <n v="0"/>
  </r>
  <r>
    <s v="EMP111"/>
    <s v="Jane"/>
    <s v="Gonzalez"/>
    <x v="2"/>
    <d v="2015-02-09T00:00:00"/>
    <n v="45196"/>
    <x v="24"/>
    <x v="0"/>
    <s v="Jane Gonzalez"/>
    <x v="2"/>
    <n v="11"/>
    <x v="1"/>
    <n v="2259.8000000000002"/>
  </r>
  <r>
    <s v="EMP040"/>
    <s v="Jane"/>
    <s v="Rodriguez"/>
    <x v="0"/>
    <d v="2016-10-11T00:00:00"/>
    <n v="86246"/>
    <x v="45"/>
    <x v="1"/>
    <s v="Jane Rodriguez"/>
    <x v="0"/>
    <n v="9"/>
    <x v="0"/>
    <n v="1724.92"/>
  </r>
  <r>
    <s v="EMP086"/>
    <s v="Emily"/>
    <s v="Miller"/>
    <x v="4"/>
    <d v="2019-04-20T00:00:00"/>
    <n v="70359"/>
    <x v="46"/>
    <x v="0"/>
    <s v="Emily Miller"/>
    <x v="4"/>
    <n v="7"/>
    <x v="1"/>
    <n v="3517.9500000000003"/>
  </r>
  <r>
    <s v="EMP124"/>
    <s v="Sarah"/>
    <s v="Miller"/>
    <x v="1"/>
    <d v="2017-02-19T00:00:00"/>
    <n v="82713.429999999993"/>
    <x v="47"/>
    <x v="0"/>
    <s v="Sarah Miller"/>
    <x v="1"/>
    <n v="9"/>
    <x v="3"/>
    <n v="6617.0743999999995"/>
  </r>
  <r>
    <s v="EMP132"/>
    <s v="Jessica"/>
    <s v="Garcia"/>
    <x v="3"/>
    <d v="2021-07-09T00:00:00"/>
    <n v="86480"/>
    <x v="1"/>
    <x v="0"/>
    <s v="Jessica Garcia"/>
    <x v="3"/>
    <n v="4"/>
    <x v="0"/>
    <n v="1729.6000000000001"/>
  </r>
  <r>
    <s v="EMP048"/>
    <s v="Richard"/>
    <s v="Smith"/>
    <x v="5"/>
    <d v="2019-05-14T00:00:00"/>
    <n v="47694"/>
    <x v="14"/>
    <x v="2"/>
    <s v="Richard Smith"/>
    <x v="5"/>
    <n v="7"/>
    <x v="1"/>
    <n v="2384.7000000000003"/>
  </r>
  <r>
    <s v="EMP114"/>
    <s v="Melissa"/>
    <s v="Wilson"/>
    <x v="0"/>
    <d v="2015-08-05T00:00:00"/>
    <n v="83724"/>
    <x v="48"/>
    <x v="0"/>
    <s v="Melissa Wilson"/>
    <x v="0"/>
    <n v="10"/>
    <x v="1"/>
    <n v="4186.2"/>
  </r>
  <r>
    <s v="EMP062"/>
    <s v="Thomas"/>
    <s v="Williams"/>
    <x v="2"/>
    <d v="2015-11-22T00:00:00"/>
    <n v="98299"/>
    <x v="45"/>
    <x v="0"/>
    <s v="Thomas Williams"/>
    <x v="2"/>
    <n v="10"/>
    <x v="0"/>
    <n v="1965.98"/>
  </r>
  <r>
    <s v="EMP074"/>
    <s v="David"/>
    <s v="Williams"/>
    <x v="2"/>
    <d v="2018-09-29T00:00:00"/>
    <n v="82713.429999999993"/>
    <x v="1"/>
    <x v="0"/>
    <s v="David Williams"/>
    <x v="2"/>
    <n v="7"/>
    <x v="0"/>
    <n v="1654.2685999999999"/>
  </r>
  <r>
    <s v="EMP034"/>
    <s v="John"/>
    <s v="Johnson"/>
    <x v="0"/>
    <d v="2023-02-09T00:00:00"/>
    <n v="52287"/>
    <x v="3"/>
    <x v="0"/>
    <s v="John Johnson"/>
    <x v="0"/>
    <n v="3"/>
    <x v="1"/>
    <n v="2614.3500000000004"/>
  </r>
  <r>
    <s v="EMP105"/>
    <s v="Richard"/>
    <s v="Gonzalez"/>
    <x v="0"/>
    <d v="2022-07-17T00:00:00"/>
    <n v="82633"/>
    <x v="26"/>
    <x v="0"/>
    <s v="Richard Gonzalez"/>
    <x v="0"/>
    <n v="3"/>
    <x v="4"/>
    <n v="9915.9599999999991"/>
  </r>
  <r>
    <s v="EMP118"/>
    <s v="Melissa"/>
    <s v="Anderson"/>
    <x v="3"/>
    <d v="2021-02-07T00:00:00"/>
    <n v="46508"/>
    <x v="44"/>
    <x v="0"/>
    <s v="Melissa Anderson"/>
    <x v="3"/>
    <n v="5"/>
    <x v="2"/>
    <n v="0"/>
  </r>
  <r>
    <s v="EMP063"/>
    <s v="Emily"/>
    <s v="Gonzalez"/>
    <x v="5"/>
    <d v="2023-04-10T00:00:00"/>
    <n v="86232"/>
    <x v="13"/>
    <x v="0"/>
    <s v="Emily Gonzalez"/>
    <x v="5"/>
    <n v="3"/>
    <x v="3"/>
    <n v="6898.56"/>
  </r>
  <r>
    <s v="EMP094"/>
    <s v="Jane"/>
    <s v="Davis"/>
    <x v="0"/>
    <d v="2020-08-30T00:00:00"/>
    <n v="77545"/>
    <x v="10"/>
    <x v="0"/>
    <s v="Jane Davis"/>
    <x v="0"/>
    <n v="5"/>
    <x v="2"/>
    <n v="0"/>
  </r>
  <r>
    <s v="EMP097"/>
    <s v="William"/>
    <s v="Gonzalez"/>
    <x v="3"/>
    <d v="2021-08-14T00:00:00"/>
    <n v="68683"/>
    <x v="20"/>
    <x v="1"/>
    <s v="William Gonzalez"/>
    <x v="3"/>
    <n v="4"/>
    <x v="3"/>
    <n v="5494.64"/>
  </r>
  <r>
    <s v="EMP054"/>
    <s v="Thomas"/>
    <s v="Jones"/>
    <x v="2"/>
    <d v="2019-11-27T00:00:00"/>
    <n v="83932"/>
    <x v="49"/>
    <x v="0"/>
    <s v="Thomas Jones"/>
    <x v="2"/>
    <n v="6"/>
    <x v="0"/>
    <n v="1678.64"/>
  </r>
  <r>
    <s v="EMP006"/>
    <s v="Jessica"/>
    <s v="Anderson"/>
    <x v="5"/>
    <d v="2017-05-25T00:00:00"/>
    <n v="56073"/>
    <x v="7"/>
    <x v="0"/>
    <s v="Jessica Anderson"/>
    <x v="5"/>
    <n v="9"/>
    <x v="1"/>
    <n v="2803.65"/>
  </r>
  <r>
    <s v="EMP110"/>
    <s v="Melissa"/>
    <s v="Johnson"/>
    <x v="0"/>
    <d v="2018-02-12T00:00:00"/>
    <n v="88056"/>
    <x v="21"/>
    <x v="1"/>
    <s v="Melissa Johnson"/>
    <x v="0"/>
    <n v="8"/>
    <x v="0"/>
    <n v="1761.1200000000001"/>
  </r>
  <r>
    <s v="EMP147"/>
    <s v="Thomas"/>
    <s v="Miller"/>
    <x v="3"/>
    <d v="2019-06-23T00:00:00"/>
    <n v="67414"/>
    <x v="30"/>
    <x v="0"/>
    <s v="Thomas Miller"/>
    <x v="3"/>
    <n v="7"/>
    <x v="1"/>
    <n v="3370.7000000000003"/>
  </r>
  <r>
    <s v="EMP050"/>
    <s v="William"/>
    <s v="Gonzalez"/>
    <x v="4"/>
    <d v="2015-10-27T00:00:00"/>
    <n v="115288"/>
    <x v="45"/>
    <x v="0"/>
    <s v="William Gonzalez"/>
    <x v="4"/>
    <n v="10"/>
    <x v="0"/>
    <n v="2305.7600000000002"/>
  </r>
  <r>
    <s v="EMP036"/>
    <s v="Emily"/>
    <s v="Smith"/>
    <x v="4"/>
    <d v="2018-06-19T00:00:00"/>
    <n v="80140"/>
    <x v="8"/>
    <x v="0"/>
    <s v="Emily Smith"/>
    <x v="4"/>
    <n v="8"/>
    <x v="0"/>
    <n v="1602.8"/>
  </r>
  <r>
    <s v="EMP081"/>
    <s v="John"/>
    <s v="Johnson"/>
    <x v="0"/>
    <d v="2018-12-01T00:00:00"/>
    <n v="73087"/>
    <x v="50"/>
    <x v="0"/>
    <s v="John Johnson"/>
    <x v="0"/>
    <n v="7"/>
    <x v="0"/>
    <n v="1461.74"/>
  </r>
  <r>
    <s v="EMP078"/>
    <s v="Jane"/>
    <s v="Johnson"/>
    <x v="4"/>
    <d v="2015-04-01T00:00:00"/>
    <n v="95292"/>
    <x v="44"/>
    <x v="0"/>
    <s v="Jane Johnson"/>
    <x v="4"/>
    <n v="11"/>
    <x v="2"/>
    <n v="0"/>
  </r>
  <r>
    <s v="EMP035"/>
    <s v="John"/>
    <s v="Jones"/>
    <x v="0"/>
    <d v="2018-05-12T00:00:00"/>
    <n v="82713.429999999993"/>
    <x v="35"/>
    <x v="1"/>
    <s v="John Jones"/>
    <x v="0"/>
    <n v="8"/>
    <x v="2"/>
    <n v="0"/>
  </r>
  <r>
    <s v="EMP047"/>
    <s v="Jane"/>
    <s v="Lopez"/>
    <x v="1"/>
    <d v="2021-10-13T00:00:00"/>
    <n v="101750"/>
    <x v="30"/>
    <x v="0"/>
    <s v="Jane Lopez"/>
    <x v="1"/>
    <n v="4"/>
    <x v="1"/>
    <n v="5087.5"/>
  </r>
  <r>
    <s v="EMP008"/>
    <s v="Melissa"/>
    <s v="Gonzalez"/>
    <x v="1"/>
    <d v="2020-07-09T00:00:00"/>
    <n v="82992"/>
    <x v="7"/>
    <x v="0"/>
    <s v="Melissa Gonzalez"/>
    <x v="1"/>
    <n v="5"/>
    <x v="1"/>
    <n v="4149.6000000000004"/>
  </r>
  <r>
    <s v="EMP044"/>
    <s v="William"/>
    <s v="Davis"/>
    <x v="0"/>
    <d v="2019-08-03T00:00:00"/>
    <n v="49942"/>
    <x v="51"/>
    <x v="0"/>
    <s v="William Davis"/>
    <x v="0"/>
    <n v="6"/>
    <x v="0"/>
    <n v="998.84"/>
  </r>
  <r>
    <s v="EMP071"/>
    <s v="John"/>
    <s v="Smith"/>
    <x v="3"/>
    <d v="2015-03-11T00:00:00"/>
    <n v="89060"/>
    <x v="8"/>
    <x v="0"/>
    <s v="John Smith"/>
    <x v="3"/>
    <n v="11"/>
    <x v="0"/>
    <n v="1781.2"/>
  </r>
  <r>
    <s v="EMP115"/>
    <s v="James"/>
    <s v="Gonzalez"/>
    <x v="0"/>
    <d v="2017-02-19T00:00:00"/>
    <n v="53786"/>
    <x v="26"/>
    <x v="0"/>
    <s v="James Gonzalez"/>
    <x v="0"/>
    <n v="9"/>
    <x v="4"/>
    <n v="6454.32"/>
  </r>
  <r>
    <s v="EMP092"/>
    <s v="Emily"/>
    <s v="Johnson"/>
    <x v="3"/>
    <d v="2023-09-05T00:00:00"/>
    <n v="81167"/>
    <x v="1"/>
    <x v="1"/>
    <s v="Emily Johnson"/>
    <x v="3"/>
    <n v="2"/>
    <x v="0"/>
    <n v="1623.3400000000001"/>
  </r>
  <r>
    <s v="EMP084"/>
    <s v="William"/>
    <s v="Williams"/>
    <x v="1"/>
    <d v="2018-01-22T00:00:00"/>
    <n v="66688"/>
    <x v="4"/>
    <x v="0"/>
    <s v="William Williams"/>
    <x v="1"/>
    <n v="8"/>
    <x v="2"/>
    <n v="0"/>
  </r>
  <r>
    <s v="EMP142"/>
    <s v="James"/>
    <s v="Jones"/>
    <x v="0"/>
    <d v="2020-02-18T00:00:00"/>
    <n v="91672"/>
    <x v="16"/>
    <x v="0"/>
    <s v="James Jones"/>
    <x v="0"/>
    <n v="6"/>
    <x v="3"/>
    <n v="7333.76"/>
  </r>
  <r>
    <s v="EMP143"/>
    <s v="Jessica"/>
    <s v="Gonzalez"/>
    <x v="5"/>
    <d v="2016-05-22T00:00:00"/>
    <n v="77737"/>
    <x v="11"/>
    <x v="0"/>
    <s v="Jessica Gonzalez"/>
    <x v="5"/>
    <n v="10"/>
    <x v="1"/>
    <n v="3886.8500000000004"/>
  </r>
  <r>
    <s v="EMP090"/>
    <s v="Sarah"/>
    <s v="Miller"/>
    <x v="4"/>
    <d v="2021-02-06T00:00:00"/>
    <n v="95686"/>
    <x v="36"/>
    <x v="0"/>
    <s v="Sarah Miller"/>
    <x v="4"/>
    <n v="5"/>
    <x v="3"/>
    <n v="7654.88"/>
  </r>
  <r>
    <s v="EMP009"/>
    <s v="Jessica"/>
    <s v="Smith"/>
    <x v="4"/>
    <d v="2021-07-17T00:00:00"/>
    <n v="114681"/>
    <x v="40"/>
    <x v="0"/>
    <s v="Jessica Smith"/>
    <x v="4"/>
    <n v="4"/>
    <x v="2"/>
    <n v="0"/>
  </r>
  <r>
    <s v="EMP014"/>
    <s v="Thomas"/>
    <s v="Jones"/>
    <x v="3"/>
    <d v="2016-11-13T00:00:00"/>
    <n v="109121"/>
    <x v="23"/>
    <x v="0"/>
    <s v="Thomas Jones"/>
    <x v="3"/>
    <n v="9"/>
    <x v="1"/>
    <n v="5456.05"/>
  </r>
  <r>
    <s v="EMP060"/>
    <s v="Amanda"/>
    <s v="Brown"/>
    <x v="1"/>
    <d v="2019-02-17T00:00:00"/>
    <n v="112791"/>
    <x v="39"/>
    <x v="0"/>
    <s v="Amanda Brown"/>
    <x v="1"/>
    <n v="7"/>
    <x v="3"/>
    <n v="9023.2800000000007"/>
  </r>
  <r>
    <s v="EMP135"/>
    <s v="Robert"/>
    <s v="Martinez"/>
    <x v="0"/>
    <d v="2016-12-09T00:00:00"/>
    <n v="118008"/>
    <x v="27"/>
    <x v="0"/>
    <s v="Robert Martinez"/>
    <x v="0"/>
    <n v="9"/>
    <x v="1"/>
    <n v="5900.4000000000005"/>
  </r>
  <r>
    <s v="EMP004"/>
    <s v="Thomas"/>
    <s v="Miller"/>
    <x v="0"/>
    <d v="2021-08-13T00:00:00"/>
    <n v="74370"/>
    <x v="52"/>
    <x v="0"/>
    <s v="Thomas Miller"/>
    <x v="0"/>
    <n v="4"/>
    <x v="1"/>
    <n v="3718.5"/>
  </r>
  <r>
    <s v="EMP018"/>
    <s v="David"/>
    <s v="Rodriguez"/>
    <x v="0"/>
    <d v="2020-06-14T00:00:00"/>
    <n v="77819"/>
    <x v="7"/>
    <x v="0"/>
    <s v="David Rodriguez"/>
    <x v="0"/>
    <n v="6"/>
    <x v="1"/>
    <n v="3890.9500000000003"/>
  </r>
  <r>
    <s v="EMP039"/>
    <s v="Jane"/>
    <s v="Miller"/>
    <x v="1"/>
    <d v="2022-07-05T00:00:00"/>
    <n v="48748"/>
    <x v="53"/>
    <x v="2"/>
    <s v="Jane Miller"/>
    <x v="1"/>
    <n v="4"/>
    <x v="1"/>
    <n v="2437.4"/>
  </r>
  <r>
    <s v="EMP073"/>
    <s v="James"/>
    <s v="Rodriguez"/>
    <x v="3"/>
    <d v="2016-10-07T00:00:00"/>
    <n v="101997"/>
    <x v="54"/>
    <x v="0"/>
    <s v="James Rodriguez"/>
    <x v="3"/>
    <n v="9"/>
    <x v="2"/>
    <n v="0"/>
  </r>
  <r>
    <s v="EMP138"/>
    <s v="Sarah"/>
    <s v="Rodriguez"/>
    <x v="5"/>
    <d v="2022-04-23T00:00:00"/>
    <n v="115260"/>
    <x v="11"/>
    <x v="0"/>
    <s v="Sarah Rodriguez"/>
    <x v="5"/>
    <n v="4"/>
    <x v="1"/>
    <n v="5763"/>
  </r>
  <r>
    <s v="EMP007"/>
    <s v="Sarah"/>
    <s v="Wilson"/>
    <x v="4"/>
    <d v="2017-10-05T00:00:00"/>
    <n v="82713.429999999993"/>
    <x v="5"/>
    <x v="1"/>
    <s v="Sarah Wilson"/>
    <x v="4"/>
    <n v="8"/>
    <x v="2"/>
    <n v="0"/>
  </r>
  <r>
    <s v="EMP144"/>
    <s v="Melissa"/>
    <s v="Brown"/>
    <x v="0"/>
    <d v="2020-05-20T00:00:00"/>
    <n v="82713.429999999993"/>
    <x v="50"/>
    <x v="0"/>
    <s v="Melissa Brown"/>
    <x v="0"/>
    <n v="6"/>
    <x v="0"/>
    <n v="1654.2685999999999"/>
  </r>
  <r>
    <s v="EMP101"/>
    <s v="Robert"/>
    <s v="Williams"/>
    <x v="4"/>
    <d v="2023-04-20T00:00:00"/>
    <n v="82713.429999999993"/>
    <x v="29"/>
    <x v="0"/>
    <s v="Robert Williams"/>
    <x v="4"/>
    <n v="3"/>
    <x v="1"/>
    <n v="4135.6714999999995"/>
  </r>
  <r>
    <s v="EMP003"/>
    <s v="Melissa"/>
    <s v="Rodriguez"/>
    <x v="3"/>
    <d v="2021-10-31T00:00:00"/>
    <n v="60623"/>
    <x v="24"/>
    <x v="0"/>
    <s v="Melissa Rodriguez"/>
    <x v="3"/>
    <n v="4"/>
    <x v="1"/>
    <n v="3031.15"/>
  </r>
  <r>
    <s v="EMP121"/>
    <s v="James"/>
    <s v="Johnson"/>
    <x v="5"/>
    <d v="2021-10-24T00:00:00"/>
    <n v="68092"/>
    <x v="13"/>
    <x v="0"/>
    <s v="James Johnson"/>
    <x v="5"/>
    <n v="4"/>
    <x v="3"/>
    <n v="5447.36"/>
  </r>
  <r>
    <s v="EMP064"/>
    <s v="Michael"/>
    <s v="Wilson"/>
    <x v="1"/>
    <d v="2017-09-08T00:00:00"/>
    <n v="88155"/>
    <x v="1"/>
    <x v="0"/>
    <s v="Michael Wilson"/>
    <x v="1"/>
    <n v="8"/>
    <x v="0"/>
    <n v="1763.1000000000001"/>
  </r>
  <r>
    <s v="EMP116"/>
    <s v="William"/>
    <s v="Jones"/>
    <x v="1"/>
    <d v="2023-04-01T00:00:00"/>
    <n v="107903"/>
    <x v="12"/>
    <x v="0"/>
    <s v="William Jones"/>
    <x v="1"/>
    <n v="3"/>
    <x v="2"/>
    <n v="0"/>
  </r>
  <r>
    <s v="EMP055"/>
    <s v="William"/>
    <s v="Williams"/>
    <x v="0"/>
    <d v="2020-08-10T00:00:00"/>
    <n v="62818"/>
    <x v="44"/>
    <x v="0"/>
    <s v="William Williams"/>
    <x v="0"/>
    <n v="5"/>
    <x v="2"/>
    <n v="0"/>
  </r>
  <r>
    <s v="EMP108"/>
    <s v="David"/>
    <s v="Williams"/>
    <x v="5"/>
    <d v="2022-02-04T00:00:00"/>
    <n v="85151"/>
    <x v="55"/>
    <x v="0"/>
    <s v="David Williams"/>
    <x v="5"/>
    <n v="4"/>
    <x v="2"/>
    <n v="0"/>
  </r>
  <r>
    <s v="EMP051"/>
    <s v="Jane"/>
    <s v="Davis"/>
    <x v="2"/>
    <d v="2018-03-24T00:00:00"/>
    <n v="46390"/>
    <x v="34"/>
    <x v="1"/>
    <s v="Jane Davis"/>
    <x v="2"/>
    <n v="8"/>
    <x v="4"/>
    <n v="5566.8"/>
  </r>
  <r>
    <s v="EMP059"/>
    <s v="John"/>
    <s v="Martinez"/>
    <x v="5"/>
    <d v="2018-07-24T00:00:00"/>
    <n v="111920"/>
    <x v="20"/>
    <x v="0"/>
    <s v="John Martinez"/>
    <x v="5"/>
    <n v="7"/>
    <x v="3"/>
    <n v="8953.6"/>
  </r>
  <r>
    <s v="EMP049"/>
    <s v="David"/>
    <s v="Anderson"/>
    <x v="5"/>
    <d v="2018-07-20T00:00:00"/>
    <n v="115618"/>
    <x v="12"/>
    <x v="2"/>
    <s v="David Anderson"/>
    <x v="5"/>
    <n v="7"/>
    <x v="2"/>
    <n v="0"/>
  </r>
  <r>
    <s v="EMP089"/>
    <s v="Sarah"/>
    <s v="Smith"/>
    <x v="4"/>
    <d v="2016-03-04T00:00:00"/>
    <n v="110618"/>
    <x v="16"/>
    <x v="1"/>
    <s v="Sarah Smith"/>
    <x v="4"/>
    <n v="10"/>
    <x v="3"/>
    <n v="8849.44"/>
  </r>
  <r>
    <s v="EMP022"/>
    <s v="Melissa"/>
    <s v="Hernandez"/>
    <x v="3"/>
    <d v="2015-11-22T00:00:00"/>
    <n v="108395"/>
    <x v="24"/>
    <x v="0"/>
    <s v="Melissa Hernandez"/>
    <x v="3"/>
    <n v="10"/>
    <x v="1"/>
    <n v="5419.75"/>
  </r>
  <r>
    <s v="EMP058"/>
    <s v="Melissa"/>
    <s v="Johnson"/>
    <x v="2"/>
    <d v="2022-03-23T00:00:00"/>
    <n v="88005"/>
    <x v="50"/>
    <x v="0"/>
    <s v="Melissa Johnson"/>
    <x v="2"/>
    <n v="4"/>
    <x v="0"/>
    <n v="1760.1000000000001"/>
  </r>
  <r>
    <s v="EMP130"/>
    <s v="Jane"/>
    <s v="Garcia"/>
    <x v="1"/>
    <d v="2017-07-28T00:00:00"/>
    <n v="83007"/>
    <x v="52"/>
    <x v="0"/>
    <s v="Jane Garcia"/>
    <x v="1"/>
    <n v="8"/>
    <x v="1"/>
    <n v="4150.3500000000004"/>
  </r>
  <r>
    <s v="EMP038"/>
    <s v="David"/>
    <s v="Davis"/>
    <x v="0"/>
    <d v="2023-11-05T00:00:00"/>
    <n v="61547"/>
    <x v="1"/>
    <x v="0"/>
    <s v="David Davis"/>
    <x v="0"/>
    <n v="2"/>
    <x v="0"/>
    <n v="1230.94"/>
  </r>
  <r>
    <s v="EMP148"/>
    <s v="James"/>
    <s v="Wilson"/>
    <x v="4"/>
    <d v="2022-03-19T00:00:00"/>
    <n v="82713.429999999993"/>
    <x v="0"/>
    <x v="1"/>
    <s v="James Wilson"/>
    <x v="4"/>
    <n v="4"/>
    <x v="0"/>
    <n v="1654.2685999999999"/>
  </r>
  <r>
    <s v="EMP002"/>
    <s v="Richard"/>
    <s v="Johnson"/>
    <x v="3"/>
    <d v="2017-12-22T00:00:00"/>
    <n v="50399"/>
    <x v="56"/>
    <x v="0"/>
    <s v="Richard Johnson"/>
    <x v="3"/>
    <n v="8"/>
    <x v="3"/>
    <n v="4031.92"/>
  </r>
  <r>
    <s v="EMP053"/>
    <s v="Richard"/>
    <s v="Williams"/>
    <x v="2"/>
    <d v="2018-05-13T00:00:00"/>
    <n v="82713.429999999993"/>
    <x v="9"/>
    <x v="0"/>
    <s v="Richard Williams"/>
    <x v="2"/>
    <n v="8"/>
    <x v="0"/>
    <n v="1654.2685999999999"/>
  </r>
  <r>
    <s v="EMP131"/>
    <s v="John"/>
    <s v="Hernandez"/>
    <x v="3"/>
    <d v="2021-08-29T00:00:00"/>
    <n v="52720"/>
    <x v="1"/>
    <x v="0"/>
    <s v="John Hernandez"/>
    <x v="3"/>
    <n v="4"/>
    <x v="0"/>
    <n v="1054.4000000000001"/>
  </r>
  <r>
    <s v="EMP104"/>
    <s v="Sarah"/>
    <s v="Gonzalez"/>
    <x v="3"/>
    <d v="2018-09-17T00:00:00"/>
    <n v="65065"/>
    <x v="26"/>
    <x v="2"/>
    <s v="Sarah Gonzalez"/>
    <x v="3"/>
    <n v="7"/>
    <x v="4"/>
    <n v="7807.7999999999993"/>
  </r>
  <r>
    <s v="EMP100"/>
    <s v="Melissa"/>
    <s v="Hernandez"/>
    <x v="4"/>
    <d v="2021-06-28T00:00:00"/>
    <n v="82713.429999999993"/>
    <x v="47"/>
    <x v="2"/>
    <s v="Melissa Hernandez"/>
    <x v="4"/>
    <n v="5"/>
    <x v="3"/>
    <n v="6617.0743999999995"/>
  </r>
  <r>
    <s v="EMP117"/>
    <s v="Melissa"/>
    <s v="Hernandez"/>
    <x v="3"/>
    <d v="2017-10-03T00:00:00"/>
    <n v="108119"/>
    <x v="49"/>
    <x v="0"/>
    <s v="Melissa Hernandez"/>
    <x v="3"/>
    <n v="8"/>
    <x v="0"/>
    <n v="2162.38"/>
  </r>
  <r>
    <s v="EMP088"/>
    <s v="John"/>
    <s v="Davis"/>
    <x v="0"/>
    <d v="2015-10-22T00:00:00"/>
    <n v="82713.429999999993"/>
    <x v="33"/>
    <x v="1"/>
    <s v="John Davis"/>
    <x v="0"/>
    <n v="10"/>
    <x v="4"/>
    <n v="9925.6115999999984"/>
  </r>
  <r>
    <s v="EMP075"/>
    <s v="Richard"/>
    <s v="Davis"/>
    <x v="5"/>
    <d v="2018-06-06T00:00:00"/>
    <n v="106896"/>
    <x v="0"/>
    <x v="0"/>
    <s v="Richard Davis"/>
    <x v="5"/>
    <n v="8"/>
    <x v="0"/>
    <n v="2137.92"/>
  </r>
  <r>
    <s v="EMP122"/>
    <s v="Emily"/>
    <s v="Jones"/>
    <x v="0"/>
    <d v="2017-07-16T00:00:00"/>
    <n v="112887"/>
    <x v="19"/>
    <x v="0"/>
    <s v="Emily Jones"/>
    <x v="0"/>
    <n v="8"/>
    <x v="0"/>
    <n v="2257.7400000000002"/>
  </r>
  <r>
    <s v="EMP021"/>
    <s v="William"/>
    <s v="Rodriguez"/>
    <x v="2"/>
    <d v="2015-06-20T00:00:00"/>
    <n v="85457"/>
    <x v="7"/>
    <x v="0"/>
    <s v="William Rodriguez"/>
    <x v="2"/>
    <n v="11"/>
    <x v="1"/>
    <n v="4272.8500000000004"/>
  </r>
  <r>
    <s v="EMP072"/>
    <s v="Melissa"/>
    <s v="Miller"/>
    <x v="4"/>
    <d v="2019-05-24T00:00:00"/>
    <n v="62798"/>
    <x v="25"/>
    <x v="1"/>
    <s v="Melissa Miller"/>
    <x v="4"/>
    <n v="7"/>
    <x v="2"/>
    <n v="0"/>
  </r>
  <r>
    <s v="EMP107"/>
    <s v="Emily"/>
    <s v="Martinez"/>
    <x v="3"/>
    <d v="2020-02-26T00:00:00"/>
    <n v="47794"/>
    <x v="57"/>
    <x v="0"/>
    <s v="Emily Martinez"/>
    <x v="3"/>
    <n v="6"/>
    <x v="1"/>
    <n v="2389.7000000000003"/>
  </r>
  <r>
    <s v="EMP093"/>
    <s v="James"/>
    <s v="Rodriguez"/>
    <x v="1"/>
    <d v="2023-06-03T00:00:00"/>
    <n v="93094"/>
    <x v="46"/>
    <x v="0"/>
    <s v="James Rodriguez"/>
    <x v="1"/>
    <n v="3"/>
    <x v="1"/>
    <n v="4654.7"/>
  </r>
  <r>
    <s v="EMP103"/>
    <s v="Amanda"/>
    <s v="Brown"/>
    <x v="0"/>
    <d v="2019-12-01T00:00:00"/>
    <n v="118634"/>
    <x v="36"/>
    <x v="0"/>
    <s v="Amanda Brown"/>
    <x v="0"/>
    <n v="6"/>
    <x v="3"/>
    <n v="9490.7199999999993"/>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s v=""/>
    <x v="6"/>
    <m/>
    <x v="5"/>
    <m/>
  </r>
  <r>
    <m/>
    <m/>
    <m/>
    <x v="6"/>
    <m/>
    <m/>
    <x v="58"/>
    <x v="3"/>
    <m/>
    <x v="6"/>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C4462-00D3-4FEF-A939-8194443625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8:C36" firstHeaderRow="0" firstDataRow="1" firstDataCol="1"/>
  <pivotFields count="13">
    <pivotField dataField="1" showAll="0"/>
    <pivotField showAll="0"/>
    <pivotField showAll="0"/>
    <pivotField showAll="0"/>
    <pivotField showAll="0"/>
    <pivotField dataField="1" showAll="0"/>
    <pivotField showAll="0"/>
    <pivotField showAll="0"/>
    <pivotField showAll="0"/>
    <pivotField axis="axisRow" showAll="0">
      <items count="8">
        <item x="2"/>
        <item x="5"/>
        <item x="0"/>
        <item x="1"/>
        <item x="3"/>
        <item x="4"/>
        <item x="6"/>
        <item t="default"/>
      </items>
    </pivotField>
    <pivotField showAll="0"/>
    <pivotField showAll="0"/>
    <pivotField showAll="0"/>
  </pivotFields>
  <rowFields count="1">
    <field x="9"/>
  </rowFields>
  <rowItems count="8">
    <i>
      <x/>
    </i>
    <i>
      <x v="1"/>
    </i>
    <i>
      <x v="2"/>
    </i>
    <i>
      <x v="3"/>
    </i>
    <i>
      <x v="4"/>
    </i>
    <i>
      <x v="5"/>
    </i>
    <i>
      <x v="6"/>
    </i>
    <i t="grand">
      <x/>
    </i>
  </rowItems>
  <colFields count="1">
    <field x="-2"/>
  </colFields>
  <colItems count="2">
    <i>
      <x/>
    </i>
    <i i="1">
      <x v="1"/>
    </i>
  </colItems>
  <dataFields count="2">
    <dataField name="Count of Emp ID" fld="0" subtotal="count" baseField="9" baseItem="0"/>
    <dataField name="Sum of Salary" fld="5" baseField="0" baseItem="0"/>
  </dataFields>
  <chartFormats count="5">
    <chartFormat chart="8"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80E8B-7E47-467B-8298-D0B8E1EBFA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I15:J23" firstHeaderRow="1" firstDataRow="1" firstDataCol="1"/>
  <pivotFields count="13">
    <pivotField showAll="0"/>
    <pivotField showAll="0"/>
    <pivotField showAll="0"/>
    <pivotField showAll="0"/>
    <pivotField showAll="0"/>
    <pivotField dataField="1" showAll="0"/>
    <pivotField showAll="0"/>
    <pivotField showAll="0"/>
    <pivotField showAll="0"/>
    <pivotField axis="axisRow" showAll="0">
      <items count="8">
        <item x="2"/>
        <item x="5"/>
        <item x="0"/>
        <item x="1"/>
        <item x="3"/>
        <item x="4"/>
        <item x="6"/>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Sum of Salary" fld="5" baseField="0" baseItem="0" numFmtId="168"/>
  </dataFields>
  <formats count="3">
    <format dxfId="2">
      <pivotArea collapsedLevelsAreSubtotals="1" fieldPosition="0">
        <references count="1">
          <reference field="9" count="1">
            <x v="0"/>
          </reference>
        </references>
      </pivotArea>
    </format>
    <format dxfId="1">
      <pivotArea collapsedLevelsAreSubtotals="1" fieldPosition="0">
        <references count="1">
          <reference field="9" count="1">
            <x v="1"/>
          </reference>
        </references>
      </pivotArea>
    </format>
    <format dxfId="0">
      <pivotArea outline="0" fieldPosition="0">
        <references count="1">
          <reference field="4294967294" count="1">
            <x v="0"/>
          </reference>
        </references>
      </pivotArea>
    </format>
  </formats>
  <chartFormats count="4">
    <chartFormat chart="22"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1278D-F7A3-4FF0-9EC1-91A3173989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10" firstHeaderRow="1" firstDataRow="1" firstDataCol="1"/>
  <pivotFields count="13">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8">
        <item x="2"/>
        <item x="5"/>
        <item x="0"/>
        <item x="1"/>
        <item x="3"/>
        <item x="4"/>
        <item x="6"/>
        <item t="default"/>
      </items>
    </pivotField>
    <pivotField showAll="0"/>
    <pivotField axis="axisRow" showAll="0">
      <items count="7">
        <item x="1"/>
        <item x="0"/>
        <item x="3"/>
        <item x="2"/>
        <item x="4"/>
        <item x="5"/>
        <item t="default"/>
      </items>
    </pivotField>
    <pivotField dataField="1" showAll="0"/>
  </pivotFields>
  <rowFields count="1">
    <field x="11"/>
  </rowFields>
  <rowItems count="7">
    <i>
      <x/>
    </i>
    <i>
      <x v="1"/>
    </i>
    <i>
      <x v="2"/>
    </i>
    <i>
      <x v="3"/>
    </i>
    <i>
      <x v="4"/>
    </i>
    <i>
      <x v="5"/>
    </i>
    <i t="grand">
      <x/>
    </i>
  </rowItems>
  <colItems count="1">
    <i/>
  </colItems>
  <dataFields count="1">
    <dataField name="Sum of Eligible Amount Bonus" fld="12" baseField="0" baseItem="0" numFmtId="166"/>
  </dataFields>
  <formats count="3">
    <format dxfId="5">
      <pivotArea grandRow="1" outline="0" collapsedLevelsAreSubtotals="1" fieldPosition="0"/>
    </format>
    <format dxfId="4">
      <pivotArea collapsedLevelsAreSubtotals="1" fieldPosition="0">
        <references count="1">
          <reference field="11" count="1">
            <x v="0"/>
          </reference>
        </references>
      </pivotArea>
    </format>
    <format dxfId="3">
      <pivotArea outline="0" fieldPosition="0">
        <references count="1">
          <reference field="4294967294" count="1">
            <x v="0"/>
          </reference>
        </references>
      </pivotArea>
    </format>
  </formats>
  <chartFormats count="2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2" format="12">
      <pivotArea type="data" outline="0" fieldPosition="0">
        <references count="2">
          <reference field="4294967294" count="1" selected="0">
            <x v="0"/>
          </reference>
          <reference field="11" count="1" selected="0">
            <x v="3"/>
          </reference>
        </references>
      </pivotArea>
    </chartFormat>
    <chartFormat chart="2" format="13">
      <pivotArea type="data" outline="0" fieldPosition="0">
        <references count="2">
          <reference field="4294967294" count="1" selected="0">
            <x v="0"/>
          </reference>
          <reference field="11" count="1" selected="0">
            <x v="4"/>
          </reference>
        </references>
      </pivotArea>
    </chartFormat>
    <chartFormat chart="2" format="14">
      <pivotArea type="data" outline="0" fieldPosition="0">
        <references count="2">
          <reference field="4294967294" count="1" selected="0">
            <x v="0"/>
          </reference>
          <reference field="11"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11" count="1" selected="0">
            <x v="0"/>
          </reference>
        </references>
      </pivotArea>
    </chartFormat>
    <chartFormat chart="6" format="24">
      <pivotArea type="data" outline="0" fieldPosition="0">
        <references count="2">
          <reference field="4294967294" count="1" selected="0">
            <x v="0"/>
          </reference>
          <reference field="11" count="1" selected="0">
            <x v="1"/>
          </reference>
        </references>
      </pivotArea>
    </chartFormat>
    <chartFormat chart="6" format="25">
      <pivotArea type="data" outline="0" fieldPosition="0">
        <references count="2">
          <reference field="4294967294" count="1" selected="0">
            <x v="0"/>
          </reference>
          <reference field="11" count="1" selected="0">
            <x v="2"/>
          </reference>
        </references>
      </pivotArea>
    </chartFormat>
    <chartFormat chart="6" format="26">
      <pivotArea type="data" outline="0" fieldPosition="0">
        <references count="2">
          <reference field="4294967294" count="1" selected="0">
            <x v="0"/>
          </reference>
          <reference field="11" count="1" selected="0">
            <x v="3"/>
          </reference>
        </references>
      </pivotArea>
    </chartFormat>
    <chartFormat chart="6" format="27">
      <pivotArea type="data" outline="0" fieldPosition="0">
        <references count="2">
          <reference field="4294967294" count="1" selected="0">
            <x v="0"/>
          </reference>
          <reference field="11" count="1" selected="0">
            <x v="4"/>
          </reference>
        </references>
      </pivotArea>
    </chartFormat>
    <chartFormat chart="6" format="28">
      <pivotArea type="data" outline="0" fieldPosition="0">
        <references count="2">
          <reference field="4294967294" count="1" selected="0">
            <x v="0"/>
          </reference>
          <reference field="11" count="1" selected="0">
            <x v="5"/>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1" count="1" selected="0">
            <x v="0"/>
          </reference>
        </references>
      </pivotArea>
    </chartFormat>
    <chartFormat chart="8" format="38">
      <pivotArea type="data" outline="0" fieldPosition="0">
        <references count="2">
          <reference field="4294967294" count="1" selected="0">
            <x v="0"/>
          </reference>
          <reference field="11" count="1" selected="0">
            <x v="1"/>
          </reference>
        </references>
      </pivotArea>
    </chartFormat>
    <chartFormat chart="8" format="39">
      <pivotArea type="data" outline="0" fieldPosition="0">
        <references count="2">
          <reference field="4294967294" count="1" selected="0">
            <x v="0"/>
          </reference>
          <reference field="11" count="1" selected="0">
            <x v="2"/>
          </reference>
        </references>
      </pivotArea>
    </chartFormat>
    <chartFormat chart="8" format="40">
      <pivotArea type="data" outline="0" fieldPosition="0">
        <references count="2">
          <reference field="4294967294" count="1" selected="0">
            <x v="0"/>
          </reference>
          <reference field="11" count="1" selected="0">
            <x v="3"/>
          </reference>
        </references>
      </pivotArea>
    </chartFormat>
    <chartFormat chart="8" format="41">
      <pivotArea type="data" outline="0" fieldPosition="0">
        <references count="2">
          <reference field="4294967294" count="1" selected="0">
            <x v="0"/>
          </reference>
          <reference field="11" count="1" selected="0">
            <x v="4"/>
          </reference>
        </references>
      </pivotArea>
    </chartFormat>
    <chartFormat chart="8" format="42">
      <pivotArea type="data" outline="0" fieldPosition="0">
        <references count="2">
          <reference field="4294967294" count="1" selected="0">
            <x v="0"/>
          </reference>
          <reference field="11" count="1" selected="0">
            <x v="5"/>
          </reference>
        </references>
      </pivotArea>
    </chartFormat>
    <chartFormat chart="10" format="50" series="1">
      <pivotArea type="data" outline="0" fieldPosition="0">
        <references count="1">
          <reference field="4294967294" count="1" selected="0">
            <x v="0"/>
          </reference>
        </references>
      </pivotArea>
    </chartFormat>
    <chartFormat chart="10" format="51">
      <pivotArea type="data" outline="0" fieldPosition="0">
        <references count="2">
          <reference field="4294967294" count="1" selected="0">
            <x v="0"/>
          </reference>
          <reference field="11" count="1" selected="0">
            <x v="0"/>
          </reference>
        </references>
      </pivotArea>
    </chartFormat>
    <chartFormat chart="10" format="52">
      <pivotArea type="data" outline="0" fieldPosition="0">
        <references count="2">
          <reference field="4294967294" count="1" selected="0">
            <x v="0"/>
          </reference>
          <reference field="11" count="1" selected="0">
            <x v="1"/>
          </reference>
        </references>
      </pivotArea>
    </chartFormat>
    <chartFormat chart="10" format="53">
      <pivotArea type="data" outline="0" fieldPosition="0">
        <references count="2">
          <reference field="4294967294" count="1" selected="0">
            <x v="0"/>
          </reference>
          <reference field="11" count="1" selected="0">
            <x v="2"/>
          </reference>
        </references>
      </pivotArea>
    </chartFormat>
    <chartFormat chart="10" format="54">
      <pivotArea type="data" outline="0" fieldPosition="0">
        <references count="2">
          <reference field="4294967294" count="1" selected="0">
            <x v="0"/>
          </reference>
          <reference field="11" count="1" selected="0">
            <x v="3"/>
          </reference>
        </references>
      </pivotArea>
    </chartFormat>
    <chartFormat chart="10" format="55">
      <pivotArea type="data" outline="0" fieldPosition="0">
        <references count="2">
          <reference field="4294967294" count="1" selected="0">
            <x v="0"/>
          </reference>
          <reference field="11" count="1" selected="0">
            <x v="4"/>
          </reference>
        </references>
      </pivotArea>
    </chartFormat>
    <chartFormat chart="10" format="5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4E9A6D-BA8A-4BC9-A39A-F41B1C9B9E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8" firstHeaderRow="1" firstDataRow="1" firstDataCol="1"/>
  <pivotFields count="13">
    <pivotField showAll="0"/>
    <pivotField showAll="0"/>
    <pivotField showAll="0"/>
    <pivotField showAll="0"/>
    <pivotField showAll="0"/>
    <pivotField showAll="0"/>
    <pivotField dataField="1" showAll="0"/>
    <pivotField axis="axisRow" showAll="0">
      <items count="5">
        <item x="0"/>
        <item x="1"/>
        <item x="2"/>
        <item x="3"/>
        <item t="default"/>
      </items>
    </pivotField>
    <pivotField showAll="0"/>
    <pivotField showAll="0">
      <items count="8">
        <item x="2"/>
        <item x="5"/>
        <item x="0"/>
        <item x="1"/>
        <item x="3"/>
        <item x="4"/>
        <item x="6"/>
        <item t="default"/>
      </items>
    </pivotField>
    <pivotField showAll="0"/>
    <pivotField showAll="0"/>
    <pivotField showAll="0"/>
  </pivotFields>
  <rowFields count="1">
    <field x="7"/>
  </rowFields>
  <rowItems count="5">
    <i>
      <x/>
    </i>
    <i>
      <x v="1"/>
    </i>
    <i>
      <x v="2"/>
    </i>
    <i>
      <x v="3"/>
    </i>
    <i t="grand">
      <x/>
    </i>
  </rowItems>
  <colItems count="1">
    <i/>
  </colItems>
  <dataFields count="1">
    <dataField name="Average of Performance Score" fld="6" subtotal="average" baseField="7" baseItem="0"/>
  </dataFields>
  <formats count="3">
    <format dxfId="8">
      <pivotArea collapsedLevelsAreSubtotals="1" fieldPosition="0">
        <references count="1">
          <reference field="7" count="1">
            <x v="0"/>
          </reference>
        </references>
      </pivotArea>
    </format>
    <format dxfId="7">
      <pivotArea collapsedLevelsAreSubtotals="1" fieldPosition="0">
        <references count="1">
          <reference field="7" count="1">
            <x v="1"/>
          </reference>
        </references>
      </pivotArea>
    </format>
    <format dxfId="6">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1F263A-F5A7-44CF-8A0C-44492CD5FA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F24" firstHeaderRow="1" firstDataRow="2" firstDataCol="1"/>
  <pivotFields count="13">
    <pivotField dataField="1" showAll="0"/>
    <pivotField showAll="0"/>
    <pivotField showAll="0"/>
    <pivotField showAll="0"/>
    <pivotField showAll="0"/>
    <pivotField showAll="0"/>
    <pivotField showAll="0"/>
    <pivotField axis="axisCol" showAll="0">
      <items count="5">
        <item x="0"/>
        <item x="1"/>
        <item x="2"/>
        <item x="3"/>
        <item t="default"/>
      </items>
    </pivotField>
    <pivotField showAll="0"/>
    <pivotField axis="axisRow" showAll="0">
      <items count="8">
        <item x="2"/>
        <item x="5"/>
        <item x="0"/>
        <item x="1"/>
        <item x="3"/>
        <item x="4"/>
        <item x="6"/>
        <item t="default"/>
      </items>
    </pivotField>
    <pivotField showAll="0"/>
    <pivotField showAll="0"/>
    <pivotField showAll="0"/>
  </pivotFields>
  <rowFields count="1">
    <field x="9"/>
  </rowFields>
  <rowItems count="8">
    <i>
      <x/>
    </i>
    <i>
      <x v="1"/>
    </i>
    <i>
      <x v="2"/>
    </i>
    <i>
      <x v="3"/>
    </i>
    <i>
      <x v="4"/>
    </i>
    <i>
      <x v="5"/>
    </i>
    <i>
      <x v="6"/>
    </i>
    <i t="grand">
      <x/>
    </i>
  </rowItems>
  <colFields count="1">
    <field x="7"/>
  </colFields>
  <colItems count="5">
    <i>
      <x/>
    </i>
    <i>
      <x v="1"/>
    </i>
    <i>
      <x v="2"/>
    </i>
    <i>
      <x v="3"/>
    </i>
    <i t="grand">
      <x/>
    </i>
  </colItems>
  <dataFields count="1">
    <dataField name="Count of Emp ID" fld="0" subtotal="count" baseField="9" baseItem="0"/>
  </dataFields>
  <chartFormats count="16">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 chart="11" format="16" series="1">
      <pivotArea type="data" outline="0" fieldPosition="0">
        <references count="2">
          <reference field="4294967294" count="1" selected="0">
            <x v="0"/>
          </reference>
          <reference field="7" count="1" selected="0">
            <x v="0"/>
          </reference>
        </references>
      </pivotArea>
    </chartFormat>
    <chartFormat chart="11" format="17" series="1">
      <pivotArea type="data" outline="0" fieldPosition="0">
        <references count="2">
          <reference field="4294967294" count="1" selected="0">
            <x v="0"/>
          </reference>
          <reference field="7" count="1" selected="0">
            <x v="1"/>
          </reference>
        </references>
      </pivotArea>
    </chartFormat>
    <chartFormat chart="11" format="18" series="1">
      <pivotArea type="data" outline="0" fieldPosition="0">
        <references count="2">
          <reference field="4294967294" count="1" selected="0">
            <x v="0"/>
          </reference>
          <reference field="7" count="1" selected="0">
            <x v="2"/>
          </reference>
        </references>
      </pivotArea>
    </chartFormat>
    <chartFormat chart="11" format="19" series="1">
      <pivotArea type="data" outline="0" fieldPosition="0">
        <references count="2">
          <reference field="4294967294" count="1" selected="0">
            <x v="0"/>
          </reference>
          <reference field="7" count="1" selected="0">
            <x v="3"/>
          </reference>
        </references>
      </pivotArea>
    </chartFormat>
    <chartFormat chart="13" format="24" series="1">
      <pivotArea type="data" outline="0" fieldPosition="0">
        <references count="2">
          <reference field="4294967294" count="1" selected="0">
            <x v="0"/>
          </reference>
          <reference field="7" count="1" selected="0">
            <x v="0"/>
          </reference>
        </references>
      </pivotArea>
    </chartFormat>
    <chartFormat chart="13" format="25" series="1">
      <pivotArea type="data" outline="0" fieldPosition="0">
        <references count="2">
          <reference field="4294967294" count="1" selected="0">
            <x v="0"/>
          </reference>
          <reference field="7" count="1" selected="0">
            <x v="1"/>
          </reference>
        </references>
      </pivotArea>
    </chartFormat>
    <chartFormat chart="13" format="26" series="1">
      <pivotArea type="data" outline="0" fieldPosition="0">
        <references count="2">
          <reference field="4294967294" count="1" selected="0">
            <x v="0"/>
          </reference>
          <reference field="7" count="1" selected="0">
            <x v="2"/>
          </reference>
        </references>
      </pivotArea>
    </chartFormat>
    <chartFormat chart="13" format="27" series="1">
      <pivotArea type="data" outline="0" fieldPosition="0">
        <references count="2">
          <reference field="4294967294" count="1" selected="0">
            <x v="0"/>
          </reference>
          <reference field="7" count="1" selected="0">
            <x v="3"/>
          </reference>
        </references>
      </pivotArea>
    </chartFormat>
    <chartFormat chart="15" format="32" series="1">
      <pivotArea type="data" outline="0" fieldPosition="0">
        <references count="2">
          <reference field="4294967294" count="1" selected="0">
            <x v="0"/>
          </reference>
          <reference field="7" count="1" selected="0">
            <x v="0"/>
          </reference>
        </references>
      </pivotArea>
    </chartFormat>
    <chartFormat chart="15" format="33" series="1">
      <pivotArea type="data" outline="0" fieldPosition="0">
        <references count="2">
          <reference field="4294967294" count="1" selected="0">
            <x v="0"/>
          </reference>
          <reference field="7" count="1" selected="0">
            <x v="1"/>
          </reference>
        </references>
      </pivotArea>
    </chartFormat>
    <chartFormat chart="15" format="34" series="1">
      <pivotArea type="data" outline="0" fieldPosition="0">
        <references count="2">
          <reference field="4294967294" count="1" selected="0">
            <x v="0"/>
          </reference>
          <reference field="7" count="1" selected="0">
            <x v="2"/>
          </reference>
        </references>
      </pivotArea>
    </chartFormat>
    <chartFormat chart="15" format="35"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E36FC6-A8EB-4AB6-BDC8-1D529C13DE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3">
    <pivotField dataField="1" showAll="0"/>
    <pivotField showAll="0"/>
    <pivotField showAll="0"/>
    <pivotField showAll="0">
      <items count="8">
        <item x="2"/>
        <item x="5"/>
        <item x="0"/>
        <item x="1"/>
        <item x="3"/>
        <item x="4"/>
        <item x="6"/>
        <item t="default"/>
      </items>
    </pivotField>
    <pivotField showAll="0"/>
    <pivotField showAll="0"/>
    <pivotField showAll="0">
      <items count="60">
        <item x="25"/>
        <item x="18"/>
        <item x="35"/>
        <item x="44"/>
        <item x="55"/>
        <item x="40"/>
        <item x="54"/>
        <item x="4"/>
        <item x="12"/>
        <item x="6"/>
        <item x="37"/>
        <item x="10"/>
        <item x="5"/>
        <item x="15"/>
        <item x="51"/>
        <item x="0"/>
        <item x="31"/>
        <item x="2"/>
        <item x="28"/>
        <item x="49"/>
        <item x="8"/>
        <item x="19"/>
        <item x="45"/>
        <item x="9"/>
        <item x="32"/>
        <item x="17"/>
        <item x="42"/>
        <item x="21"/>
        <item x="43"/>
        <item x="1"/>
        <item x="50"/>
        <item x="3"/>
        <item x="27"/>
        <item x="23"/>
        <item x="57"/>
        <item x="46"/>
        <item x="14"/>
        <item x="29"/>
        <item x="11"/>
        <item x="24"/>
        <item x="7"/>
        <item x="22"/>
        <item x="48"/>
        <item x="52"/>
        <item x="53"/>
        <item x="30"/>
        <item x="39"/>
        <item x="16"/>
        <item x="20"/>
        <item x="36"/>
        <item x="56"/>
        <item x="13"/>
        <item x="47"/>
        <item x="34"/>
        <item x="33"/>
        <item x="41"/>
        <item x="26"/>
        <item x="38"/>
        <item x="58"/>
        <item t="default"/>
      </items>
    </pivotField>
    <pivotField showAll="0">
      <items count="5">
        <item x="0"/>
        <item x="1"/>
        <item x="2"/>
        <item x="3"/>
        <item t="default"/>
      </items>
    </pivotField>
    <pivotField showAll="0"/>
    <pivotField axis="axisRow" showAll="0">
      <items count="8">
        <item x="2"/>
        <item x="5"/>
        <item x="0"/>
        <item x="1"/>
        <item x="3"/>
        <item x="4"/>
        <item x="6"/>
        <item t="default"/>
      </items>
    </pivotField>
    <pivotField showAll="0"/>
    <pivotField showAll="0">
      <items count="7">
        <item h="1" x="1"/>
        <item h="1" x="0"/>
        <item h="1" x="3"/>
        <item x="2"/>
        <item h="1" x="4"/>
        <item h="1" x="5"/>
        <item t="default"/>
      </items>
    </pivotField>
    <pivotField showAll="0"/>
  </pivotFields>
  <rowFields count="1">
    <field x="9"/>
  </rowFields>
  <rowItems count="7">
    <i>
      <x/>
    </i>
    <i>
      <x v="1"/>
    </i>
    <i>
      <x v="2"/>
    </i>
    <i>
      <x v="3"/>
    </i>
    <i>
      <x v="4"/>
    </i>
    <i>
      <x v="5"/>
    </i>
    <i t="grand">
      <x/>
    </i>
  </rowItems>
  <colItems count="1">
    <i/>
  </colItems>
  <dataFields count="1">
    <dataField name="Count of Emp ID" fld="0" subtotal="count" baseField="9" baseItem="0"/>
  </dataFields>
  <chartFormats count="4">
    <chartFormat chart="8" format="4"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ode" xr10:uid="{B231706B-41E6-49F3-809C-2CDBB70B9A15}" sourceName="Dept Code">
  <pivotTables>
    <pivotTable tabId="5" name="PivotTable1"/>
  </pivotTables>
  <data>
    <tabular pivotCacheId="430536648">
      <items count="7">
        <i x="2" s="1"/>
        <i x="5" s="1"/>
        <i x="0" s="1"/>
        <i x="1" s="1"/>
        <i x="3" s="1"/>
        <i x="4"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BCF13C79-93FA-43EB-B11C-28A7B8ACD31A}" sourceName="Performance Score">
  <pivotTables>
    <pivotTable tabId="5" name="PivotTable1"/>
  </pivotTables>
  <data>
    <tabular pivotCacheId="430536648">
      <items count="59">
        <i x="25" s="1"/>
        <i x="18" s="1"/>
        <i x="35" s="1"/>
        <i x="44" s="1"/>
        <i x="55" s="1"/>
        <i x="40" s="1"/>
        <i x="54" s="1"/>
        <i x="4" s="1"/>
        <i x="12" s="1"/>
        <i x="6" s="1"/>
        <i x="37" s="1"/>
        <i x="10" s="1"/>
        <i x="5" s="1"/>
        <i x="15" s="1" nd="1"/>
        <i x="51" s="1" nd="1"/>
        <i x="0" s="1" nd="1"/>
        <i x="31" s="1" nd="1"/>
        <i x="2" s="1" nd="1"/>
        <i x="28" s="1" nd="1"/>
        <i x="49" s="1" nd="1"/>
        <i x="8" s="1" nd="1"/>
        <i x="19" s="1" nd="1"/>
        <i x="45" s="1" nd="1"/>
        <i x="9" s="1" nd="1"/>
        <i x="32" s="1" nd="1"/>
        <i x="17" s="1" nd="1"/>
        <i x="42" s="1" nd="1"/>
        <i x="21" s="1" nd="1"/>
        <i x="43" s="1" nd="1"/>
        <i x="1" s="1" nd="1"/>
        <i x="50" s="1" nd="1"/>
        <i x="3" s="1" nd="1"/>
        <i x="27" s="1" nd="1"/>
        <i x="23" s="1" nd="1"/>
        <i x="57" s="1" nd="1"/>
        <i x="46" s="1" nd="1"/>
        <i x="14" s="1" nd="1"/>
        <i x="29" s="1" nd="1"/>
        <i x="11" s="1" nd="1"/>
        <i x="24" s="1" nd="1"/>
        <i x="7" s="1" nd="1"/>
        <i x="22" s="1" nd="1"/>
        <i x="48" s="1" nd="1"/>
        <i x="52" s="1" nd="1"/>
        <i x="53" s="1" nd="1"/>
        <i x="30" s="1" nd="1"/>
        <i x="39" s="1" nd="1"/>
        <i x="16" s="1" nd="1"/>
        <i x="20" s="1" nd="1"/>
        <i x="36" s="1" nd="1"/>
        <i x="56" s="1" nd="1"/>
        <i x="13" s="1" nd="1"/>
        <i x="47" s="1" nd="1"/>
        <i x="34" s="1" nd="1"/>
        <i x="33" s="1" nd="1"/>
        <i x="41" s="1" nd="1"/>
        <i x="26" s="1" nd="1"/>
        <i x="38" s="1" nd="1"/>
        <i x="5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yment_Status" xr10:uid="{91C1F0FB-C949-478C-93B0-C3A338A57ED7}" sourceName="Emplyment Status">
  <pivotTables>
    <pivotTable tabId="5" name="PivotTable1"/>
  </pivotTables>
  <data>
    <tabular pivotCacheId="430536648">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11DC9A8D-011D-480A-A325-3D1B8693417F}" sourceName="Department Name">
  <pivotTables>
    <pivotTable tabId="5" name="PivotTable1"/>
    <pivotTable tabId="5" name="PivotTable10"/>
    <pivotTable tabId="5" name="PivotTable2"/>
    <pivotTable tabId="5" name="PivotTable3"/>
    <pivotTable tabId="5" name="PivotTable4"/>
    <pivotTable tabId="5" name="PivotTable8"/>
  </pivotTables>
  <data>
    <tabular pivotCacheId="430536648">
      <items count="7">
        <i x="2" s="1"/>
        <i x="5" s="1"/>
        <i x="0" s="1"/>
        <i x="1" s="1"/>
        <i x="3" s="1"/>
        <i x="4" s="1"/>
        <i x="6"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5DBA8310-4F7C-4023-A0E7-C0CFBFC62627}" sourceName="Performance Band">
  <pivotTables>
    <pivotTable tabId="5" name="PivotTable1"/>
  </pivotTables>
  <data>
    <tabular pivotCacheId="430536648">
      <items count="6">
        <i x="1"/>
        <i x="0"/>
        <i x="3"/>
        <i x="2" s="1"/>
        <i x="4"/>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1" xr10:uid="{3880A1C2-B554-4A7C-80A9-7497B8DBECE4}" cache="Slicer_Dept_Code" caption="Dept Code" style="SlicerStyleDark5" rowHeight="241300"/>
  <slicer name="Performance Score 1" xr10:uid="{15851C13-4AEA-4A99-B81D-9D10B8199077}" cache="Slicer_Performance_Score" caption="Performance Score" startItem="6" style="SlicerStyleDark5" rowHeight="241300"/>
  <slicer name="Emplyment Status 1" xr10:uid="{83F92BB1-5971-4B74-995B-A801A8C1CE7E}" cache="Slicer_Emplyment_Status" caption="Emplyment Status" style="SlicerStyleDark5" rowHeight="241300"/>
  <slicer name="Department Name 1" xr10:uid="{622D766A-0499-4B91-960E-CEBE0DE35654}" cache="Slicer_Department_Name" caption="Department Name" style="SlicerStyleDark5" rowHeight="241300"/>
  <slicer name="Performance Band 1" xr10:uid="{4E40DAC9-1889-49F1-8CEA-55E9197448A4}" cache="Slicer_Performance_Band" caption="Performance Band"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2" xr10:uid="{1FF88F3E-4FD4-4D8B-9901-86CA5A673B5D}" cache="Slicer_Dept_Code" caption="Dept Code" style="SlicerStyleDark5" rowHeight="241300"/>
  <slicer name="Performance Score 2" xr10:uid="{B2F9A480-B1BE-4173-9BD2-4299A8910751}" cache="Slicer_Performance_Score" caption="Performance Score" style="SlicerStyleDark5" rowHeight="241300"/>
  <slicer name="Emplyment Status 2" xr10:uid="{107AEB74-FCBE-49D4-B3EC-A7011491DF8B}" cache="Slicer_Emplyment_Status" caption="Emplyment Status" style="SlicerStyleDark5" rowHeight="241300"/>
  <slicer name="Department Name 2" xr10:uid="{C9DE9BEA-F3A9-4819-8F9C-A9727DE0D173}" cache="Slicer_Department_Name" caption="Department Name" style="SlicerStyleDark5" rowHeight="241300"/>
  <slicer name="Performance Band 2" xr10:uid="{A2B4C306-80A7-4C6F-88A8-9329F679552C}" cache="Slicer_Performance_Band" caption="Performance Band"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3" xr10:uid="{85A2AD9C-E86E-4E0E-A771-6B73128DD163}" cache="Slicer_Dept_Code" caption="Dept Code" style="SlicerStyleDark5" rowHeight="241300"/>
  <slicer name="Performance Score 3" xr10:uid="{D0E1AB36-7E0A-4DED-BC14-097814247953}" cache="Slicer_Performance_Score" caption="Performance Score" startItem="6" style="SlicerStyleDark5" rowHeight="241300"/>
  <slicer name="Emplyment Status 3" xr10:uid="{3B8C8C94-1B3E-4DD5-881D-B42B31B3152F}" cache="Slicer_Emplyment_Status" caption="Emplyment Status" style="SlicerStyleDark5" rowHeight="241300"/>
  <slicer name="Department Name 3" xr10:uid="{EE9D6825-9ADE-4C89-8204-A68B25FAF880}" cache="Slicer_Department_Name" caption="Department Name" style="SlicerStyleDark5" rowHeight="241300"/>
  <slicer name="Performance Band 3" xr10:uid="{08F607F2-7792-4F43-95B4-CA49A8FEAC1C}" cache="Slicer_Performance_Band" caption="Performance Band"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0634-CD9B-448E-9D1A-30C110F7D267}">
  <dimension ref="A1"/>
  <sheetViews>
    <sheetView showGridLines="0" topLeftCell="A2" zoomScale="78" zoomScaleNormal="78" workbookViewId="0">
      <selection activeCell="C33" sqref="C33"/>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B4AA-5E0E-45B3-B4F7-BC5A5DEFB6CD}">
  <dimension ref="G3"/>
  <sheetViews>
    <sheetView showGridLines="0" zoomScale="70" zoomScaleNormal="70" workbookViewId="0">
      <selection activeCell="U12" sqref="U12"/>
    </sheetView>
  </sheetViews>
  <sheetFormatPr defaultRowHeight="14.5" x14ac:dyDescent="0.35"/>
  <sheetData>
    <row r="3" spans="7:7" ht="30.5" x14ac:dyDescent="0.85">
      <c r="G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001E-1895-4CBC-A84E-EED33EFB9F22}">
  <dimension ref="G3"/>
  <sheetViews>
    <sheetView showGridLines="0" topLeftCell="A2" zoomScale="71" zoomScaleNormal="71" workbookViewId="0"/>
  </sheetViews>
  <sheetFormatPr defaultRowHeight="14.5" x14ac:dyDescent="0.35"/>
  <sheetData>
    <row r="3" spans="7:7" ht="30.5" x14ac:dyDescent="0.85">
      <c r="G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5AF6-49EE-4774-95F4-6095704D28BF}">
  <dimension ref="G3"/>
  <sheetViews>
    <sheetView showGridLines="0" tabSelected="1" zoomScale="33" zoomScaleNormal="33" workbookViewId="0"/>
  </sheetViews>
  <sheetFormatPr defaultRowHeight="14.5" x14ac:dyDescent="0.35"/>
  <sheetData>
    <row r="3" spans="7:7" ht="30.5" x14ac:dyDescent="0.85">
      <c r="G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2FFB-1981-4634-B795-D1CDDCB9A8DB}">
  <dimension ref="A2:J36"/>
  <sheetViews>
    <sheetView showFormulas="1" zoomScale="63" zoomScaleNormal="63" workbookViewId="0">
      <selection activeCell="H32" sqref="H32"/>
    </sheetView>
  </sheetViews>
  <sheetFormatPr defaultRowHeight="14.5" x14ac:dyDescent="0.35"/>
  <cols>
    <col min="1" max="1" width="20.90625" customWidth="1"/>
    <col min="2" max="2" width="14.6328125" bestFit="1" customWidth="1"/>
    <col min="3" max="3" width="12.08984375" bestFit="1" customWidth="1"/>
    <col min="4" max="4" width="8.26953125" bestFit="1" customWidth="1"/>
    <col min="5" max="5" width="6.7265625" bestFit="1" customWidth="1"/>
    <col min="6" max="6" width="13.08984375" bestFit="1" customWidth="1"/>
    <col min="7" max="7" width="15.7265625" customWidth="1"/>
    <col min="8" max="8" width="3.6328125" customWidth="1"/>
    <col min="9" max="9" width="20.90625" bestFit="1" customWidth="1"/>
    <col min="10" max="10" width="13.54296875" bestFit="1" customWidth="1"/>
    <col min="11" max="11" width="26.1796875" bestFit="1" customWidth="1"/>
    <col min="12" max="53" width="5.81640625" bestFit="1" customWidth="1"/>
    <col min="54" max="54" width="8.81640625" bestFit="1" customWidth="1"/>
    <col min="55" max="81" width="5.81640625" bestFit="1" customWidth="1"/>
    <col min="82" max="111" width="6.81640625" bestFit="1" customWidth="1"/>
    <col min="112" max="119" width="8.36328125" bestFit="1" customWidth="1"/>
    <col min="120" max="132" width="7.36328125" bestFit="1" customWidth="1"/>
    <col min="133" max="133" width="6.7265625" bestFit="1" customWidth="1"/>
    <col min="134" max="134" width="10.7265625" bestFit="1" customWidth="1"/>
  </cols>
  <sheetData>
    <row r="2" spans="1:10" x14ac:dyDescent="0.35">
      <c r="A2" s="29" t="s">
        <v>231</v>
      </c>
      <c r="F2" s="29" t="s">
        <v>224</v>
      </c>
      <c r="I2" s="29" t="s">
        <v>227</v>
      </c>
    </row>
    <row r="3" spans="1:10" x14ac:dyDescent="0.35">
      <c r="A3" s="26" t="s">
        <v>217</v>
      </c>
      <c r="B3" t="s">
        <v>220</v>
      </c>
      <c r="F3" s="26" t="s">
        <v>217</v>
      </c>
      <c r="G3" t="s">
        <v>226</v>
      </c>
      <c r="I3" s="26" t="s">
        <v>217</v>
      </c>
      <c r="J3" t="s">
        <v>228</v>
      </c>
    </row>
    <row r="4" spans="1:10" x14ac:dyDescent="0.35">
      <c r="A4" s="3" t="s">
        <v>199</v>
      </c>
      <c r="B4" s="27">
        <v>1</v>
      </c>
      <c r="F4" s="3" t="s">
        <v>36</v>
      </c>
      <c r="G4" s="28">
        <v>67.034482758620683</v>
      </c>
      <c r="I4" s="3" t="s">
        <v>209</v>
      </c>
      <c r="J4" s="28">
        <v>164994.30750000002</v>
      </c>
    </row>
    <row r="5" spans="1:10" x14ac:dyDescent="0.35">
      <c r="A5" s="3" t="s">
        <v>197</v>
      </c>
      <c r="B5" s="27">
        <v>4</v>
      </c>
      <c r="F5" s="3" t="s">
        <v>23</v>
      </c>
      <c r="G5" s="28">
        <v>70.916666666666671</v>
      </c>
      <c r="I5" s="3" t="s">
        <v>208</v>
      </c>
      <c r="J5" s="28">
        <v>84450.788800000009</v>
      </c>
    </row>
    <row r="6" spans="1:10" x14ac:dyDescent="0.35">
      <c r="A6" s="3" t="s">
        <v>198</v>
      </c>
      <c r="B6" s="27">
        <v>6</v>
      </c>
      <c r="F6" s="3" t="s">
        <v>84</v>
      </c>
      <c r="G6" s="27">
        <v>73.3</v>
      </c>
      <c r="I6" s="3" t="s">
        <v>210</v>
      </c>
      <c r="J6" s="28">
        <v>144546.94880000001</v>
      </c>
    </row>
    <row r="7" spans="1:10" x14ac:dyDescent="0.35">
      <c r="A7" s="3" t="s">
        <v>200</v>
      </c>
      <c r="B7" s="27">
        <v>3</v>
      </c>
      <c r="F7" s="3" t="s">
        <v>218</v>
      </c>
      <c r="G7" s="27"/>
      <c r="I7" s="3" t="s">
        <v>207</v>
      </c>
      <c r="J7" s="28">
        <v>0</v>
      </c>
    </row>
    <row r="8" spans="1:10" x14ac:dyDescent="0.35">
      <c r="A8" s="3" t="s">
        <v>202</v>
      </c>
      <c r="B8" s="27">
        <v>6</v>
      </c>
      <c r="F8" s="3" t="s">
        <v>219</v>
      </c>
      <c r="G8" s="28">
        <v>68.073333333333338</v>
      </c>
      <c r="I8" s="3" t="s">
        <v>211</v>
      </c>
      <c r="J8" s="28">
        <v>92304.651600000012</v>
      </c>
    </row>
    <row r="9" spans="1:10" x14ac:dyDescent="0.35">
      <c r="A9" s="3" t="s">
        <v>201</v>
      </c>
      <c r="B9" s="27">
        <v>8</v>
      </c>
      <c r="I9" s="3" t="s">
        <v>218</v>
      </c>
      <c r="J9" s="28"/>
    </row>
    <row r="10" spans="1:10" x14ac:dyDescent="0.35">
      <c r="A10" s="3" t="s">
        <v>219</v>
      </c>
      <c r="B10" s="27">
        <v>28</v>
      </c>
      <c r="I10" s="3" t="s">
        <v>219</v>
      </c>
      <c r="J10" s="28">
        <v>486296.69670000009</v>
      </c>
    </row>
    <row r="12" spans="1:10" x14ac:dyDescent="0.35">
      <c r="B12">
        <f>GETPIVOTDATA("Count of Emp ID",$A$3)</f>
        <v>28</v>
      </c>
      <c r="C12" s="32"/>
    </row>
    <row r="14" spans="1:10" x14ac:dyDescent="0.35">
      <c r="A14" s="29"/>
      <c r="B14" s="29" t="s">
        <v>223</v>
      </c>
      <c r="I14" s="29" t="s">
        <v>232</v>
      </c>
    </row>
    <row r="15" spans="1:10" x14ac:dyDescent="0.35">
      <c r="A15" s="26" t="s">
        <v>220</v>
      </c>
      <c r="B15" s="26" t="s">
        <v>221</v>
      </c>
      <c r="I15" s="26" t="s">
        <v>217</v>
      </c>
      <c r="J15" t="s">
        <v>230</v>
      </c>
    </row>
    <row r="16" spans="1:10" x14ac:dyDescent="0.35">
      <c r="A16" s="26" t="s">
        <v>217</v>
      </c>
      <c r="B16" t="s">
        <v>36</v>
      </c>
      <c r="C16" t="s">
        <v>23</v>
      </c>
      <c r="D16" t="s">
        <v>84</v>
      </c>
      <c r="E16" t="s">
        <v>218</v>
      </c>
      <c r="F16" t="s">
        <v>219</v>
      </c>
      <c r="G16" s="29" t="s">
        <v>229</v>
      </c>
      <c r="I16" s="3" t="s">
        <v>199</v>
      </c>
      <c r="J16" s="33">
        <v>1479279.2899999998</v>
      </c>
    </row>
    <row r="17" spans="1:10" x14ac:dyDescent="0.35">
      <c r="A17" s="3" t="s">
        <v>199</v>
      </c>
      <c r="B17" s="27">
        <v>14</v>
      </c>
      <c r="C17" s="27">
        <v>3</v>
      </c>
      <c r="D17" s="27"/>
      <c r="E17" s="27"/>
      <c r="F17" s="27">
        <v>17</v>
      </c>
      <c r="G17" s="30">
        <f>D17/F17</f>
        <v>0</v>
      </c>
      <c r="I17" s="3" t="s">
        <v>197</v>
      </c>
      <c r="J17" s="33">
        <v>1538762.43</v>
      </c>
    </row>
    <row r="18" spans="1:10" x14ac:dyDescent="0.35">
      <c r="A18" s="3" t="s">
        <v>197</v>
      </c>
      <c r="B18" s="27">
        <v>14</v>
      </c>
      <c r="C18" s="27">
        <v>1</v>
      </c>
      <c r="D18" s="27">
        <v>3</v>
      </c>
      <c r="E18" s="27"/>
      <c r="F18" s="27">
        <v>18</v>
      </c>
      <c r="G18" s="30">
        <f t="shared" ref="G18:G24" si="0">D18/F18</f>
        <v>0.16666666666666666</v>
      </c>
      <c r="I18" s="3" t="s">
        <v>198</v>
      </c>
      <c r="J18" s="33">
        <v>2894009.1500000004</v>
      </c>
    </row>
    <row r="19" spans="1:10" x14ac:dyDescent="0.35">
      <c r="A19" s="3" t="s">
        <v>198</v>
      </c>
      <c r="B19" s="27">
        <v>32</v>
      </c>
      <c r="C19" s="27">
        <v>4</v>
      </c>
      <c r="D19" s="27"/>
      <c r="E19" s="27"/>
      <c r="F19" s="27">
        <v>36</v>
      </c>
      <c r="G19" s="30">
        <f t="shared" si="0"/>
        <v>0</v>
      </c>
      <c r="I19" s="3" t="s">
        <v>200</v>
      </c>
      <c r="J19" s="33">
        <v>1621860.43</v>
      </c>
    </row>
    <row r="20" spans="1:10" x14ac:dyDescent="0.35">
      <c r="A20" s="3" t="s">
        <v>200</v>
      </c>
      <c r="B20" s="27">
        <v>15</v>
      </c>
      <c r="C20" s="27">
        <v>2</v>
      </c>
      <c r="D20" s="27">
        <v>2</v>
      </c>
      <c r="E20" s="27"/>
      <c r="F20" s="27">
        <v>19</v>
      </c>
      <c r="G20" s="30">
        <f t="shared" si="0"/>
        <v>0.10526315789473684</v>
      </c>
      <c r="I20" s="3" t="s">
        <v>202</v>
      </c>
      <c r="J20" s="33">
        <v>2319666.86</v>
      </c>
    </row>
    <row r="21" spans="1:10" x14ac:dyDescent="0.35">
      <c r="A21" s="3" t="s">
        <v>202</v>
      </c>
      <c r="B21" s="27">
        <v>20</v>
      </c>
      <c r="C21" s="27">
        <v>7</v>
      </c>
      <c r="D21" s="27">
        <v>2</v>
      </c>
      <c r="E21" s="27"/>
      <c r="F21" s="27">
        <v>29</v>
      </c>
      <c r="G21" s="30">
        <f t="shared" si="0"/>
        <v>6.8965517241379309E-2</v>
      </c>
      <c r="I21" s="3" t="s">
        <v>201</v>
      </c>
      <c r="J21" s="33">
        <v>2669201.4400000004</v>
      </c>
    </row>
    <row r="22" spans="1:10" x14ac:dyDescent="0.35">
      <c r="A22" s="3" t="s">
        <v>201</v>
      </c>
      <c r="B22" s="27">
        <v>21</v>
      </c>
      <c r="C22" s="27">
        <v>7</v>
      </c>
      <c r="D22" s="27">
        <v>3</v>
      </c>
      <c r="E22" s="27"/>
      <c r="F22" s="27">
        <v>31</v>
      </c>
      <c r="G22" s="30">
        <f t="shared" si="0"/>
        <v>9.6774193548387094E-2</v>
      </c>
      <c r="I22" s="3" t="s">
        <v>218</v>
      </c>
      <c r="J22" s="33"/>
    </row>
    <row r="23" spans="1:10" x14ac:dyDescent="0.35">
      <c r="A23" s="3" t="s">
        <v>218</v>
      </c>
      <c r="B23" s="27"/>
      <c r="C23" s="27"/>
      <c r="D23" s="27"/>
      <c r="E23" s="27"/>
      <c r="F23" s="27"/>
      <c r="G23" s="30"/>
      <c r="I23" s="3" t="s">
        <v>219</v>
      </c>
      <c r="J23" s="33">
        <v>12522779.600000001</v>
      </c>
    </row>
    <row r="24" spans="1:10" x14ac:dyDescent="0.35">
      <c r="A24" s="3" t="s">
        <v>219</v>
      </c>
      <c r="B24" s="27">
        <v>116</v>
      </c>
      <c r="C24" s="27">
        <v>24</v>
      </c>
      <c r="D24" s="27">
        <v>10</v>
      </c>
      <c r="E24" s="27"/>
      <c r="F24" s="27">
        <v>150</v>
      </c>
      <c r="G24" s="30">
        <f t="shared" si="0"/>
        <v>6.6666666666666666E-2</v>
      </c>
      <c r="J24" s="32">
        <f>GETPIVOTDATA("Salary",$I$15)</f>
        <v>12522779.600000001</v>
      </c>
    </row>
    <row r="25" spans="1:10" x14ac:dyDescent="0.35">
      <c r="G25" s="30">
        <f>G24</f>
        <v>6.6666666666666666E-2</v>
      </c>
    </row>
    <row r="27" spans="1:10" x14ac:dyDescent="0.35">
      <c r="A27" s="29" t="s">
        <v>233</v>
      </c>
    </row>
    <row r="28" spans="1:10" x14ac:dyDescent="0.35">
      <c r="A28" s="26" t="s">
        <v>217</v>
      </c>
      <c r="B28" t="s">
        <v>220</v>
      </c>
      <c r="C28" t="s">
        <v>230</v>
      </c>
    </row>
    <row r="29" spans="1:10" x14ac:dyDescent="0.35">
      <c r="A29" s="3" t="s">
        <v>199</v>
      </c>
      <c r="B29" s="27">
        <v>17</v>
      </c>
      <c r="C29" s="27">
        <v>1479279.2899999998</v>
      </c>
    </row>
    <row r="30" spans="1:10" x14ac:dyDescent="0.35">
      <c r="A30" s="3" t="s">
        <v>197</v>
      </c>
      <c r="B30" s="27">
        <v>18</v>
      </c>
      <c r="C30" s="27">
        <v>1538762.43</v>
      </c>
    </row>
    <row r="31" spans="1:10" x14ac:dyDescent="0.35">
      <c r="A31" s="3" t="s">
        <v>198</v>
      </c>
      <c r="B31" s="27">
        <v>36</v>
      </c>
      <c r="C31" s="27">
        <v>2894009.1500000004</v>
      </c>
    </row>
    <row r="32" spans="1:10" x14ac:dyDescent="0.35">
      <c r="A32" s="3" t="s">
        <v>200</v>
      </c>
      <c r="B32" s="27">
        <v>19</v>
      </c>
      <c r="C32" s="27">
        <v>1621860.43</v>
      </c>
    </row>
    <row r="33" spans="1:3" x14ac:dyDescent="0.35">
      <c r="A33" s="3" t="s">
        <v>202</v>
      </c>
      <c r="B33" s="27">
        <v>29</v>
      </c>
      <c r="C33" s="27">
        <v>2319666.86</v>
      </c>
    </row>
    <row r="34" spans="1:3" x14ac:dyDescent="0.35">
      <c r="A34" s="3" t="s">
        <v>201</v>
      </c>
      <c r="B34" s="27">
        <v>31</v>
      </c>
      <c r="C34" s="27">
        <v>2669201.4400000004</v>
      </c>
    </row>
    <row r="35" spans="1:3" x14ac:dyDescent="0.35">
      <c r="A35" s="3" t="s">
        <v>218</v>
      </c>
      <c r="B35" s="27"/>
      <c r="C35" s="27"/>
    </row>
    <row r="36" spans="1:3" x14ac:dyDescent="0.35">
      <c r="A36" s="3" t="s">
        <v>219</v>
      </c>
      <c r="B36" s="27">
        <v>150</v>
      </c>
      <c r="C36" s="27">
        <v>12522779.599999996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49945-CC5D-41F3-A023-22E964071F15}">
  <dimension ref="A1:M165"/>
  <sheetViews>
    <sheetView showFormulas="1" topLeftCell="D1" zoomScale="94" zoomScaleNormal="94" workbookViewId="0">
      <selection activeCell="L2" sqref="L2"/>
    </sheetView>
  </sheetViews>
  <sheetFormatPr defaultRowHeight="14.5" outlineLevelCol="1" x14ac:dyDescent="0.35"/>
  <cols>
    <col min="1" max="1" width="8.81640625" customWidth="1"/>
    <col min="2" max="2" width="12.36328125" customWidth="1"/>
    <col min="3" max="3" width="12.08984375" customWidth="1"/>
    <col min="4" max="4" width="11.6328125" style="3" customWidth="1"/>
    <col min="5" max="5" width="9.54296875" style="7" customWidth="1"/>
    <col min="6" max="6" width="7.1796875" style="2" customWidth="1"/>
    <col min="7" max="7" width="9.7265625" customWidth="1"/>
    <col min="8" max="8" width="4.6328125" style="3" customWidth="1"/>
    <col min="9" max="9" width="11.54296875" style="3" customWidth="1"/>
    <col min="10" max="10" width="16.54296875" customWidth="1" outlineLevel="1"/>
    <col min="11" max="11" width="6.453125" customWidth="1" outlineLevel="1"/>
    <col min="12" max="12" width="17.90625" customWidth="1"/>
    <col min="13" max="13" width="15.26953125" customWidth="1"/>
  </cols>
  <sheetData>
    <row r="1" spans="1:13" x14ac:dyDescent="0.35">
      <c r="A1" s="8" t="s">
        <v>0</v>
      </c>
      <c r="B1" s="8" t="s">
        <v>1</v>
      </c>
      <c r="C1" s="8" t="s">
        <v>2</v>
      </c>
      <c r="D1" s="9" t="s">
        <v>3</v>
      </c>
      <c r="E1" s="21" t="s">
        <v>4</v>
      </c>
      <c r="F1" s="10" t="s">
        <v>5</v>
      </c>
      <c r="G1" s="8" t="s">
        <v>225</v>
      </c>
      <c r="H1" s="9" t="s">
        <v>222</v>
      </c>
      <c r="I1" s="9" t="s">
        <v>212</v>
      </c>
      <c r="J1" s="9" t="s">
        <v>213</v>
      </c>
      <c r="K1" s="23" t="s">
        <v>214</v>
      </c>
      <c r="L1" s="20" t="s">
        <v>215</v>
      </c>
      <c r="M1" s="22" t="s">
        <v>216</v>
      </c>
    </row>
    <row r="2" spans="1:13" x14ac:dyDescent="0.35">
      <c r="A2" s="11" t="s">
        <v>6</v>
      </c>
      <c r="B2" s="11" t="s">
        <v>7</v>
      </c>
      <c r="C2" s="11" t="s">
        <v>8</v>
      </c>
      <c r="D2" s="12" t="s">
        <v>9</v>
      </c>
      <c r="E2" s="7">
        <v>43093</v>
      </c>
      <c r="F2" s="13">
        <v>50361</v>
      </c>
      <c r="G2" s="11">
        <v>52</v>
      </c>
      <c r="H2" s="12" t="s">
        <v>36</v>
      </c>
      <c r="I2" s="12" t="str">
        <f>_xlfn.TEXTJOIN(" ",TRUE, 'Raw_Employee_Data with Fomulas'!$B2,'Raw_Employee_Data with Fomulas'!$C2)</f>
        <v>Emily Brown</v>
      </c>
      <c r="J2" s="11" t="str">
        <f>_xlfn.XLOOKUP(D2,Lookup_Departments!A:A,Lookup_Departments!B:B)</f>
        <v>Information Technology</v>
      </c>
      <c r="K2" s="11">
        <f ca="1">DATEDIF(E2,TODAY(),"Y")</f>
        <v>8</v>
      </c>
      <c r="L2" t="str" cm="1">
        <f t="array" ref="L2">_xlfn.IFS(G2&lt;=49,"Needs Improvement",G2&lt;=69,"Developing",G2&lt;=84,"Achieving",G2&lt;=94,"Exceeding",G2&lt;=100,"Outstanding")</f>
        <v>Developing</v>
      </c>
      <c r="M2" s="25">
        <f>F2*_xlfn.XLOOKUP(L2,Lookup_Performance!$C$2:$C$6,Lookup_Performance!$D$2:$D$6,0)</f>
        <v>1007.22</v>
      </c>
    </row>
    <row r="3" spans="1:13" x14ac:dyDescent="0.35">
      <c r="A3" s="5" t="s">
        <v>10</v>
      </c>
      <c r="B3" s="5" t="s">
        <v>11</v>
      </c>
      <c r="C3" s="5" t="s">
        <v>12</v>
      </c>
      <c r="D3" s="14" t="s">
        <v>13</v>
      </c>
      <c r="E3" s="7">
        <v>44777</v>
      </c>
      <c r="F3" s="15">
        <v>112673</v>
      </c>
      <c r="G3" s="5">
        <v>68</v>
      </c>
      <c r="H3" s="14" t="s">
        <v>23</v>
      </c>
      <c r="I3" s="14" t="str">
        <f>_xlfn.TEXTJOIN(" ",TRUE, 'Raw_Employee_Data with Fomulas'!$B3,'Raw_Employee_Data with Fomulas'!$C3)</f>
        <v>Richard Hernandez</v>
      </c>
      <c r="J3" s="11" t="str">
        <f>_xlfn.XLOOKUP(D3,Lookup_Departments!A:A,Lookup_Departments!B:B)</f>
        <v>Marketing</v>
      </c>
      <c r="K3" s="11">
        <f t="shared" ref="K3:K66" ca="1" si="0">DATEDIF(E3,TODAY(),"Y")</f>
        <v>3</v>
      </c>
      <c r="L3" t="str" cm="1">
        <f t="array" ref="L3">_xlfn.IFS(G3&lt;=49,"Needs Improvement",G3&lt;=69,"Developing",G3&lt;=84,"Achieving",G3&lt;=94,"Exceeding",G3&lt;=100,"Outstanding")</f>
        <v>Developing</v>
      </c>
      <c r="M3" s="25">
        <f>F3*_xlfn.XLOOKUP(L3,Lookup_Performance!$C$2:$C$6,Lookup_Performance!$D$2:$D$6,0)</f>
        <v>2253.46</v>
      </c>
    </row>
    <row r="4" spans="1:13" x14ac:dyDescent="0.35">
      <c r="A4" s="4" t="s">
        <v>14</v>
      </c>
      <c r="B4" s="4" t="s">
        <v>7</v>
      </c>
      <c r="C4" s="4" t="s">
        <v>15</v>
      </c>
      <c r="D4" s="16" t="s">
        <v>9</v>
      </c>
      <c r="E4" s="7">
        <v>42403</v>
      </c>
      <c r="F4" s="17">
        <v>114425</v>
      </c>
      <c r="G4" s="4">
        <v>54</v>
      </c>
      <c r="H4" s="16" t="s">
        <v>36</v>
      </c>
      <c r="I4" s="16" t="str">
        <f>_xlfn.TEXTJOIN(" ",TRUE, 'Raw_Employee_Data with Fomulas'!$B4,'Raw_Employee_Data with Fomulas'!$C4)</f>
        <v>Emily Gonzalez</v>
      </c>
      <c r="J4" s="11" t="str">
        <f>_xlfn.XLOOKUP(D4,Lookup_Departments!A:A,Lookup_Departments!B:B)</f>
        <v>Information Technology</v>
      </c>
      <c r="K4" s="11">
        <f t="shared" ca="1" si="0"/>
        <v>10</v>
      </c>
      <c r="L4" t="str" cm="1">
        <f t="array" ref="L4">_xlfn.IFS(G4&lt;=49,"Needs Improvement",G4&lt;=69,"Developing",G4&lt;=84,"Achieving",G4&lt;=94,"Exceeding",G4&lt;=100,"Outstanding")</f>
        <v>Developing</v>
      </c>
      <c r="M4" s="25">
        <f>F4*_xlfn.XLOOKUP(L4,Lookup_Performance!$C$2:$C$6,Lookup_Performance!$D$2:$D$6,0)</f>
        <v>2288.5</v>
      </c>
    </row>
    <row r="5" spans="1:13" x14ac:dyDescent="0.35">
      <c r="A5" s="5" t="s">
        <v>16</v>
      </c>
      <c r="B5" s="5" t="s">
        <v>17</v>
      </c>
      <c r="C5" s="5" t="s">
        <v>18</v>
      </c>
      <c r="D5" s="14" t="s">
        <v>19</v>
      </c>
      <c r="E5" s="7">
        <v>44992</v>
      </c>
      <c r="F5" s="15">
        <v>103831</v>
      </c>
      <c r="G5" s="5">
        <v>70</v>
      </c>
      <c r="H5" s="14" t="s">
        <v>23</v>
      </c>
      <c r="I5" s="14" t="str">
        <f>_xlfn.TEXTJOIN(" ",TRUE, 'Raw_Employee_Data with Fomulas'!$B5,'Raw_Employee_Data with Fomulas'!$C5)</f>
        <v>John Martinez</v>
      </c>
      <c r="J5" s="11" t="str">
        <f>_xlfn.XLOOKUP(D5,Lookup_Departments!A:A,Lookup_Departments!B:B)</f>
        <v>Finance</v>
      </c>
      <c r="K5" s="11">
        <f t="shared" ca="1" si="0"/>
        <v>3</v>
      </c>
      <c r="L5" t="str" cm="1">
        <f t="array" ref="L5">_xlfn.IFS(G5&lt;=49,"Needs Improvement",G5&lt;=69,"Developing",G5&lt;=84,"Achieving",G5&lt;=94,"Exceeding",G5&lt;=100,"Outstanding")</f>
        <v>Achieving</v>
      </c>
      <c r="M5" s="25">
        <f>F5*_xlfn.XLOOKUP(L5,Lookup_Performance!$C$2:$C$6,Lookup_Performance!$D$2:$D$6,0)</f>
        <v>5191.55</v>
      </c>
    </row>
    <row r="6" spans="1:13" x14ac:dyDescent="0.35">
      <c r="A6" s="4" t="s">
        <v>20</v>
      </c>
      <c r="B6" s="4" t="s">
        <v>21</v>
      </c>
      <c r="C6" s="4" t="s">
        <v>22</v>
      </c>
      <c r="D6" s="16" t="s">
        <v>9</v>
      </c>
      <c r="E6" s="7">
        <v>44977</v>
      </c>
      <c r="F6" s="17">
        <v>73785</v>
      </c>
      <c r="G6" s="4">
        <v>40</v>
      </c>
      <c r="H6" s="16" t="s">
        <v>36</v>
      </c>
      <c r="I6" s="16" t="str">
        <f>_xlfn.TEXTJOIN(" ",TRUE, 'Raw_Employee_Data with Fomulas'!$B6,'Raw_Employee_Data with Fomulas'!$C6)</f>
        <v>Thomas Smith</v>
      </c>
      <c r="J6" s="11" t="str">
        <f>_xlfn.XLOOKUP(D6,Lookup_Departments!A:A,Lookup_Departments!B:B)</f>
        <v>Information Technology</v>
      </c>
      <c r="K6" s="11">
        <f t="shared" ca="1" si="0"/>
        <v>3</v>
      </c>
      <c r="L6" t="str" cm="1">
        <f t="array" ref="L6">_xlfn.IFS(G6&lt;=49,"Needs Improvement",G6&lt;=69,"Developing",G6&lt;=84,"Achieving",G6&lt;=94,"Exceeding",G6&lt;=100,"Outstanding")</f>
        <v>Needs Improvement</v>
      </c>
      <c r="M6" s="25">
        <f>F6*_xlfn.XLOOKUP(L6,Lookup_Performance!$C$2:$C$6,Lookup_Performance!$D$2:$D$6,0)</f>
        <v>0</v>
      </c>
    </row>
    <row r="7" spans="1:13" x14ac:dyDescent="0.35">
      <c r="A7" s="5" t="s">
        <v>24</v>
      </c>
      <c r="B7" s="5" t="s">
        <v>7</v>
      </c>
      <c r="C7" s="5" t="s">
        <v>25</v>
      </c>
      <c r="D7" s="14" t="s">
        <v>26</v>
      </c>
      <c r="E7" s="7">
        <v>43892</v>
      </c>
      <c r="F7" s="15">
        <v>115882</v>
      </c>
      <c r="G7" s="5">
        <v>49</v>
      </c>
      <c r="H7" s="14" t="s">
        <v>23</v>
      </c>
      <c r="I7" s="14" t="str">
        <f>_xlfn.TEXTJOIN(" ",TRUE, 'Raw_Employee_Data with Fomulas'!$B7,'Raw_Employee_Data with Fomulas'!$C7)</f>
        <v>Emily Johnson</v>
      </c>
      <c r="J7" s="11" t="str">
        <f>_xlfn.XLOOKUP(D7,Lookup_Departments!A:A,Lookup_Departments!B:B)</f>
        <v>Operations</v>
      </c>
      <c r="K7" s="11">
        <f t="shared" ca="1" si="0"/>
        <v>6</v>
      </c>
      <c r="L7" t="str" cm="1">
        <f t="array" ref="L7">_xlfn.IFS(G7&lt;=49,"Needs Improvement",G7&lt;=69,"Developing",G7&lt;=84,"Achieving",G7&lt;=94,"Exceeding",G7&lt;=100,"Outstanding")</f>
        <v>Needs Improvement</v>
      </c>
      <c r="M7" s="25">
        <f>F7*_xlfn.XLOOKUP(L7,Lookup_Performance!$C$2:$C$6,Lookup_Performance!$D$2:$D$6,0)</f>
        <v>0</v>
      </c>
    </row>
    <row r="8" spans="1:13" x14ac:dyDescent="0.35">
      <c r="A8" s="4" t="s">
        <v>27</v>
      </c>
      <c r="B8" s="4" t="s">
        <v>17</v>
      </c>
      <c r="C8" s="4" t="s">
        <v>28</v>
      </c>
      <c r="D8" s="16" t="s">
        <v>26</v>
      </c>
      <c r="E8" s="7">
        <v>45272</v>
      </c>
      <c r="F8" s="17">
        <v>59980</v>
      </c>
      <c r="G8" s="4">
        <v>70</v>
      </c>
      <c r="H8" s="16" t="s">
        <v>36</v>
      </c>
      <c r="I8" s="16" t="str">
        <f>_xlfn.TEXTJOIN(" ",TRUE, 'Raw_Employee_Data with Fomulas'!$B8,'Raw_Employee_Data with Fomulas'!$C8)</f>
        <v>John Wilson</v>
      </c>
      <c r="J8" s="11" t="str">
        <f>_xlfn.XLOOKUP(D8,Lookup_Departments!A:A,Lookup_Departments!B:B)</f>
        <v>Operations</v>
      </c>
      <c r="K8" s="11">
        <f t="shared" ca="1" si="0"/>
        <v>2</v>
      </c>
      <c r="L8" t="str" cm="1">
        <f t="array" ref="L8">_xlfn.IFS(G8&lt;=49,"Needs Improvement",G8&lt;=69,"Developing",G8&lt;=84,"Achieving",G8&lt;=94,"Exceeding",G8&lt;=100,"Outstanding")</f>
        <v>Achieving</v>
      </c>
      <c r="M8" s="25">
        <f>F8*_xlfn.XLOOKUP(L8,Lookup_Performance!$C$2:$C$6,Lookup_Performance!$D$2:$D$6,0)</f>
        <v>2999</v>
      </c>
    </row>
    <row r="9" spans="1:13" x14ac:dyDescent="0.35">
      <c r="A9" s="5" t="s">
        <v>29</v>
      </c>
      <c r="B9" s="5" t="s">
        <v>30</v>
      </c>
      <c r="C9" s="5" t="s">
        <v>22</v>
      </c>
      <c r="D9" s="14" t="s">
        <v>26</v>
      </c>
      <c r="E9" s="7">
        <v>44086</v>
      </c>
      <c r="F9" s="15">
        <v>68728</v>
      </c>
      <c r="G9" s="5">
        <v>45</v>
      </c>
      <c r="H9" s="14" t="s">
        <v>36</v>
      </c>
      <c r="I9" s="14" t="str">
        <f>_xlfn.TEXTJOIN(" ",TRUE, 'Raw_Employee_Data with Fomulas'!$B9,'Raw_Employee_Data with Fomulas'!$C9)</f>
        <v>Jessica Smith</v>
      </c>
      <c r="J9" s="11" t="str">
        <f>_xlfn.XLOOKUP(D9,Lookup_Departments!A:A,Lookup_Departments!B:B)</f>
        <v>Operations</v>
      </c>
      <c r="K9" s="11">
        <f t="shared" ca="1" si="0"/>
        <v>5</v>
      </c>
      <c r="L9" t="str" cm="1">
        <f t="array" ref="L9">_xlfn.IFS(G9&lt;=49,"Needs Improvement",G9&lt;=69,"Developing",G9&lt;=84,"Achieving",G9&lt;=94,"Exceeding",G9&lt;=100,"Outstanding")</f>
        <v>Needs Improvement</v>
      </c>
      <c r="M9" s="25">
        <f>F9*_xlfn.XLOOKUP(L9,Lookup_Performance!$C$2:$C$6,Lookup_Performance!$D$2:$D$6,0)</f>
        <v>0</v>
      </c>
    </row>
    <row r="10" spans="1:13" x14ac:dyDescent="0.35">
      <c r="A10" s="4" t="s">
        <v>31</v>
      </c>
      <c r="B10" s="4" t="s">
        <v>7</v>
      </c>
      <c r="C10" s="4" t="s">
        <v>32</v>
      </c>
      <c r="D10" s="16" t="s">
        <v>19</v>
      </c>
      <c r="E10" s="7">
        <v>43282</v>
      </c>
      <c r="F10" s="17">
        <v>102139</v>
      </c>
      <c r="G10" s="4">
        <v>79</v>
      </c>
      <c r="H10" s="16" t="s">
        <v>36</v>
      </c>
      <c r="I10" s="16" t="str">
        <f>_xlfn.TEXTJOIN(" ",TRUE, 'Raw_Employee_Data with Fomulas'!$B10,'Raw_Employee_Data with Fomulas'!$C10)</f>
        <v>Emily Rodriguez</v>
      </c>
      <c r="J10" s="11" t="str">
        <f>_xlfn.XLOOKUP(D10,Lookup_Departments!A:A,Lookup_Departments!B:B)</f>
        <v>Finance</v>
      </c>
      <c r="K10" s="11">
        <f t="shared" ca="1" si="0"/>
        <v>8</v>
      </c>
      <c r="L10" t="str" cm="1">
        <f t="array" ref="L10">_xlfn.IFS(G10&lt;=49,"Needs Improvement",G10&lt;=69,"Developing",G10&lt;=84,"Achieving",G10&lt;=94,"Exceeding",G10&lt;=100,"Outstanding")</f>
        <v>Achieving</v>
      </c>
      <c r="M10" s="25">
        <f>F10*_xlfn.XLOOKUP(L10,Lookup_Performance!$C$2:$C$6,Lookup_Performance!$D$2:$D$6,0)</f>
        <v>5106.9500000000007</v>
      </c>
    </row>
    <row r="11" spans="1:13" x14ac:dyDescent="0.35">
      <c r="A11" s="5" t="s">
        <v>33</v>
      </c>
      <c r="B11" s="5" t="s">
        <v>34</v>
      </c>
      <c r="C11" s="5" t="s">
        <v>18</v>
      </c>
      <c r="D11" s="14" t="s">
        <v>35</v>
      </c>
      <c r="E11" s="7">
        <v>42411</v>
      </c>
      <c r="F11" s="15">
        <v>94998</v>
      </c>
      <c r="G11" s="5">
        <v>58</v>
      </c>
      <c r="H11" s="14" t="s">
        <v>36</v>
      </c>
      <c r="I11" s="14" t="str">
        <f>_xlfn.TEXTJOIN(" ",TRUE, 'Raw_Employee_Data with Fomulas'!$B11,'Raw_Employee_Data with Fomulas'!$C11)</f>
        <v>Michael Martinez</v>
      </c>
      <c r="J11" s="11" t="str">
        <f>_xlfn.XLOOKUP(D11,Lookup_Departments!A:A,Lookup_Departments!B:B)</f>
        <v>Sales</v>
      </c>
      <c r="K11" s="11">
        <f t="shared" ca="1" si="0"/>
        <v>10</v>
      </c>
      <c r="L11" t="str" cm="1">
        <f t="array" ref="L11">_xlfn.IFS(G11&lt;=49,"Needs Improvement",G11&lt;=69,"Developing",G11&lt;=84,"Achieving",G11&lt;=94,"Exceeding",G11&lt;=100,"Outstanding")</f>
        <v>Developing</v>
      </c>
      <c r="M11" s="25">
        <f>F11*_xlfn.XLOOKUP(L11,Lookup_Performance!$C$2:$C$6,Lookup_Performance!$D$2:$D$6,0)</f>
        <v>1899.96</v>
      </c>
    </row>
    <row r="12" spans="1:13" x14ac:dyDescent="0.35">
      <c r="A12" s="4" t="s">
        <v>37</v>
      </c>
      <c r="B12" s="4" t="s">
        <v>7</v>
      </c>
      <c r="C12" s="4" t="s">
        <v>38</v>
      </c>
      <c r="D12" s="16" t="s">
        <v>35</v>
      </c>
      <c r="E12" s="7">
        <v>43911</v>
      </c>
      <c r="F12" s="17">
        <v>118635</v>
      </c>
      <c r="G12" s="4">
        <v>49</v>
      </c>
      <c r="H12" s="16" t="s">
        <v>36</v>
      </c>
      <c r="I12" s="16" t="str">
        <f>_xlfn.TEXTJOIN(" ",TRUE, 'Raw_Employee_Data with Fomulas'!$B12,'Raw_Employee_Data with Fomulas'!$C12)</f>
        <v>Emily Miller</v>
      </c>
      <c r="J12" s="11" t="str">
        <f>_xlfn.XLOOKUP(D12,Lookup_Departments!A:A,Lookup_Departments!B:B)</f>
        <v>Sales</v>
      </c>
      <c r="K12" s="11">
        <f t="shared" ca="1" si="0"/>
        <v>6</v>
      </c>
      <c r="L12" t="str" cm="1">
        <f t="array" ref="L12">_xlfn.IFS(G12&lt;=49,"Needs Improvement",G12&lt;=69,"Developing",G12&lt;=84,"Achieving",G12&lt;=94,"Exceeding",G12&lt;=100,"Outstanding")</f>
        <v>Needs Improvement</v>
      </c>
      <c r="M12" s="25">
        <f>F12*_xlfn.XLOOKUP(L12,Lookup_Performance!$C$2:$C$6,Lookup_Performance!$D$2:$D$6,0)</f>
        <v>0</v>
      </c>
    </row>
    <row r="13" spans="1:13" x14ac:dyDescent="0.35">
      <c r="A13" s="5" t="s">
        <v>39</v>
      </c>
      <c r="B13" s="5" t="s">
        <v>7</v>
      </c>
      <c r="C13" s="5" t="s">
        <v>12</v>
      </c>
      <c r="D13" s="14" t="s">
        <v>9</v>
      </c>
      <c r="E13" s="7">
        <v>42425</v>
      </c>
      <c r="F13" s="15">
        <v>76918</v>
      </c>
      <c r="G13" s="5">
        <v>62</v>
      </c>
      <c r="H13" s="14" t="s">
        <v>36</v>
      </c>
      <c r="I13" s="14" t="str">
        <f>_xlfn.TEXTJOIN(" ",TRUE, 'Raw_Employee_Data with Fomulas'!$B13,'Raw_Employee_Data with Fomulas'!$C13)</f>
        <v>Emily Hernandez</v>
      </c>
      <c r="J13" s="11" t="str">
        <f>_xlfn.XLOOKUP(D13,Lookup_Departments!A:A,Lookup_Departments!B:B)</f>
        <v>Information Technology</v>
      </c>
      <c r="K13" s="11">
        <f t="shared" ca="1" si="0"/>
        <v>10</v>
      </c>
      <c r="L13" t="str" cm="1">
        <f t="array" ref="L13">_xlfn.IFS(G13&lt;=49,"Needs Improvement",G13&lt;=69,"Developing",G13&lt;=84,"Achieving",G13&lt;=94,"Exceeding",G13&lt;=100,"Outstanding")</f>
        <v>Developing</v>
      </c>
      <c r="M13" s="25">
        <f>F13*_xlfn.XLOOKUP(L13,Lookup_Performance!$C$2:$C$6,Lookup_Performance!$D$2:$D$6,0)</f>
        <v>1538.3600000000001</v>
      </c>
    </row>
    <row r="14" spans="1:13" x14ac:dyDescent="0.35">
      <c r="A14" s="4" t="s">
        <v>40</v>
      </c>
      <c r="B14" s="4" t="s">
        <v>41</v>
      </c>
      <c r="C14" s="4" t="s">
        <v>42</v>
      </c>
      <c r="D14" s="16" t="s">
        <v>13</v>
      </c>
      <c r="E14" s="7">
        <v>44364</v>
      </c>
      <c r="F14" s="17">
        <v>61408</v>
      </c>
      <c r="G14" s="4">
        <v>48</v>
      </c>
      <c r="H14" s="16" t="s">
        <v>36</v>
      </c>
      <c r="I14" s="16" t="str">
        <f>_xlfn.TEXTJOIN(" ",TRUE, 'Raw_Employee_Data with Fomulas'!$B14,'Raw_Employee_Data with Fomulas'!$C14)</f>
        <v>Jane Williams</v>
      </c>
      <c r="J14" s="11" t="str">
        <f>_xlfn.XLOOKUP(D14,Lookup_Departments!A:A,Lookup_Departments!B:B)</f>
        <v>Marketing</v>
      </c>
      <c r="K14" s="11">
        <f t="shared" ca="1" si="0"/>
        <v>5</v>
      </c>
      <c r="L14" t="str" cm="1">
        <f t="array" ref="L14">_xlfn.IFS(G14&lt;=49,"Needs Improvement",G14&lt;=69,"Developing",G14&lt;=84,"Achieving",G14&lt;=94,"Exceeding",G14&lt;=100,"Outstanding")</f>
        <v>Needs Improvement</v>
      </c>
      <c r="M14" s="25">
        <f>F14*_xlfn.XLOOKUP(L14,Lookup_Performance!$C$2:$C$6,Lookup_Performance!$D$2:$D$6,0)</f>
        <v>0</v>
      </c>
    </row>
    <row r="15" spans="1:13" x14ac:dyDescent="0.35">
      <c r="A15" s="5" t="s">
        <v>43</v>
      </c>
      <c r="B15" s="5" t="s">
        <v>41</v>
      </c>
      <c r="C15" s="5" t="s">
        <v>38</v>
      </c>
      <c r="D15" s="14" t="s">
        <v>13</v>
      </c>
      <c r="E15" s="7">
        <v>44001</v>
      </c>
      <c r="F15" s="15">
        <v>99990</v>
      </c>
      <c r="G15" s="5">
        <v>54</v>
      </c>
      <c r="H15" s="14" t="s">
        <v>36</v>
      </c>
      <c r="I15" s="14" t="str">
        <f>_xlfn.TEXTJOIN(" ",TRUE, 'Raw_Employee_Data with Fomulas'!$B15,'Raw_Employee_Data with Fomulas'!$C15)</f>
        <v>Jane Miller</v>
      </c>
      <c r="J15" s="11" t="str">
        <f>_xlfn.XLOOKUP(D15,Lookup_Departments!A:A,Lookup_Departments!B:B)</f>
        <v>Marketing</v>
      </c>
      <c r="K15" s="11">
        <f t="shared" ca="1" si="0"/>
        <v>6</v>
      </c>
      <c r="L15" t="str" cm="1">
        <f t="array" ref="L15">_xlfn.IFS(G15&lt;=49,"Needs Improvement",G15&lt;=69,"Developing",G15&lt;=84,"Achieving",G15&lt;=94,"Exceeding",G15&lt;=100,"Outstanding")</f>
        <v>Developing</v>
      </c>
      <c r="M15" s="25">
        <f>F15*_xlfn.XLOOKUP(L15,Lookup_Performance!$C$2:$C$6,Lookup_Performance!$D$2:$D$6,0)</f>
        <v>1999.8</v>
      </c>
    </row>
    <row r="16" spans="1:13" x14ac:dyDescent="0.35">
      <c r="A16" s="4" t="s">
        <v>44</v>
      </c>
      <c r="B16" s="4" t="s">
        <v>45</v>
      </c>
      <c r="C16" s="4" t="s">
        <v>46</v>
      </c>
      <c r="D16" s="16" t="s">
        <v>13</v>
      </c>
      <c r="E16" s="7">
        <v>43820</v>
      </c>
      <c r="F16" s="17">
        <v>80385</v>
      </c>
      <c r="G16" s="4">
        <v>68</v>
      </c>
      <c r="H16" s="16" t="s">
        <v>36</v>
      </c>
      <c r="I16" s="16" t="str">
        <f>_xlfn.TEXTJOIN(" ",TRUE, 'Raw_Employee_Data with Fomulas'!$B16,'Raw_Employee_Data with Fomulas'!$C16)</f>
        <v>Robert Jones</v>
      </c>
      <c r="J16" s="11" t="str">
        <f>_xlfn.XLOOKUP(D16,Lookup_Departments!A:A,Lookup_Departments!B:B)</f>
        <v>Marketing</v>
      </c>
      <c r="K16" s="11">
        <f t="shared" ca="1" si="0"/>
        <v>6</v>
      </c>
      <c r="L16" t="str" cm="1">
        <f t="array" ref="L16">_xlfn.IFS(G16&lt;=49,"Needs Improvement",G16&lt;=69,"Developing",G16&lt;=84,"Achieving",G16&lt;=94,"Exceeding",G16&lt;=100,"Outstanding")</f>
        <v>Developing</v>
      </c>
      <c r="M16" s="25">
        <f>F16*_xlfn.XLOOKUP(L16,Lookup_Performance!$C$2:$C$6,Lookup_Performance!$D$2:$D$6,0)</f>
        <v>1607.7</v>
      </c>
    </row>
    <row r="17" spans="1:13" x14ac:dyDescent="0.35">
      <c r="A17" s="5" t="s">
        <v>47</v>
      </c>
      <c r="B17" s="5" t="s">
        <v>21</v>
      </c>
      <c r="C17" s="5" t="s">
        <v>32</v>
      </c>
      <c r="D17" s="14" t="s">
        <v>35</v>
      </c>
      <c r="E17" s="7">
        <v>45169</v>
      </c>
      <c r="F17" s="15">
        <v>65290</v>
      </c>
      <c r="G17" s="5">
        <v>77</v>
      </c>
      <c r="H17" s="14" t="s">
        <v>36</v>
      </c>
      <c r="I17" s="14" t="str">
        <f>_xlfn.TEXTJOIN(" ",TRUE, 'Raw_Employee_Data with Fomulas'!$B17,'Raw_Employee_Data with Fomulas'!$C17)</f>
        <v>Thomas Rodriguez</v>
      </c>
      <c r="J17" s="11" t="str">
        <f>_xlfn.XLOOKUP(D17,Lookup_Departments!A:A,Lookup_Departments!B:B)</f>
        <v>Sales</v>
      </c>
      <c r="K17" s="11">
        <f t="shared" ca="1" si="0"/>
        <v>2</v>
      </c>
      <c r="L17" t="str" cm="1">
        <f t="array" ref="L17">_xlfn.IFS(G17&lt;=49,"Needs Improvement",G17&lt;=69,"Developing",G17&lt;=84,"Achieving",G17&lt;=94,"Exceeding",G17&lt;=100,"Outstanding")</f>
        <v>Achieving</v>
      </c>
      <c r="M17" s="25">
        <f>F17*_xlfn.XLOOKUP(L17,Lookup_Performance!$C$2:$C$6,Lookup_Performance!$D$2:$D$6,0)</f>
        <v>3264.5</v>
      </c>
    </row>
    <row r="18" spans="1:13" x14ac:dyDescent="0.35">
      <c r="A18" s="4" t="s">
        <v>48</v>
      </c>
      <c r="B18" s="4" t="s">
        <v>7</v>
      </c>
      <c r="C18" s="4" t="s">
        <v>49</v>
      </c>
      <c r="D18" s="16" t="s">
        <v>9</v>
      </c>
      <c r="E18" s="7">
        <v>42337</v>
      </c>
      <c r="F18" s="17">
        <v>105765</v>
      </c>
      <c r="G18" s="4">
        <v>42</v>
      </c>
      <c r="H18" s="16" t="s">
        <v>36</v>
      </c>
      <c r="I18" s="16" t="str">
        <f>_xlfn.TEXTJOIN(" ",TRUE, 'Raw_Employee_Data with Fomulas'!$B18,'Raw_Employee_Data with Fomulas'!$C18)</f>
        <v>Emily Davis</v>
      </c>
      <c r="J18" s="11" t="str">
        <f>_xlfn.XLOOKUP(D18,Lookup_Departments!A:A,Lookup_Departments!B:B)</f>
        <v>Information Technology</v>
      </c>
      <c r="K18" s="11">
        <f t="shared" ca="1" si="0"/>
        <v>10</v>
      </c>
      <c r="L18" t="str" cm="1">
        <f t="array" ref="L18">_xlfn.IFS(G18&lt;=49,"Needs Improvement",G18&lt;=69,"Developing",G18&lt;=84,"Achieving",G18&lt;=94,"Exceeding",G18&lt;=100,"Outstanding")</f>
        <v>Needs Improvement</v>
      </c>
      <c r="M18" s="25">
        <f>F18*_xlfn.XLOOKUP(L18,Lookup_Performance!$C$2:$C$6,Lookup_Performance!$D$2:$D$6,0)</f>
        <v>0</v>
      </c>
    </row>
    <row r="19" spans="1:13" x14ac:dyDescent="0.35">
      <c r="A19" s="5" t="s">
        <v>50</v>
      </c>
      <c r="B19" s="5" t="s">
        <v>51</v>
      </c>
      <c r="C19" s="5" t="s">
        <v>18</v>
      </c>
      <c r="D19" s="14" t="s">
        <v>35</v>
      </c>
      <c r="E19" s="7">
        <v>42899</v>
      </c>
      <c r="F19" s="15">
        <v>102921</v>
      </c>
      <c r="G19" s="5">
        <v>49</v>
      </c>
      <c r="H19" s="14" t="s">
        <v>36</v>
      </c>
      <c r="I19" s="14" t="str">
        <f>_xlfn.TEXTJOIN(" ",TRUE, 'Raw_Employee_Data with Fomulas'!$B19,'Raw_Employee_Data with Fomulas'!$C19)</f>
        <v>James Martinez</v>
      </c>
      <c r="J19" s="11" t="str">
        <f>_xlfn.XLOOKUP(D19,Lookup_Departments!A:A,Lookup_Departments!B:B)</f>
        <v>Sales</v>
      </c>
      <c r="K19" s="11">
        <f t="shared" ca="1" si="0"/>
        <v>9</v>
      </c>
      <c r="L19" t="str" cm="1">
        <f t="array" ref="L19">_xlfn.IFS(G19&lt;=49,"Needs Improvement",G19&lt;=69,"Developing",G19&lt;=84,"Achieving",G19&lt;=94,"Exceeding",G19&lt;=100,"Outstanding")</f>
        <v>Needs Improvement</v>
      </c>
      <c r="M19" s="25">
        <f>F19*_xlfn.XLOOKUP(L19,Lookup_Performance!$C$2:$C$6,Lookup_Performance!$D$2:$D$6,0)</f>
        <v>0</v>
      </c>
    </row>
    <row r="20" spans="1:13" x14ac:dyDescent="0.35">
      <c r="A20" s="4" t="s">
        <v>52</v>
      </c>
      <c r="B20" s="4" t="s">
        <v>53</v>
      </c>
      <c r="C20" s="4" t="s">
        <v>54</v>
      </c>
      <c r="D20" s="16" t="s">
        <v>13</v>
      </c>
      <c r="E20" s="7">
        <v>42425</v>
      </c>
      <c r="F20" s="17">
        <v>73984</v>
      </c>
      <c r="G20" s="4">
        <v>93</v>
      </c>
      <c r="H20" s="16" t="s">
        <v>36</v>
      </c>
      <c r="I20" s="16" t="str">
        <f>_xlfn.TEXTJOIN(" ",TRUE, 'Raw_Employee_Data with Fomulas'!$B20,'Raw_Employee_Data with Fomulas'!$C20)</f>
        <v>Ashley Lopez</v>
      </c>
      <c r="J20" s="11" t="str">
        <f>_xlfn.XLOOKUP(D20,Lookup_Departments!A:A,Lookup_Departments!B:B)</f>
        <v>Marketing</v>
      </c>
      <c r="K20" s="11">
        <f t="shared" ca="1" si="0"/>
        <v>10</v>
      </c>
      <c r="L20" t="str" cm="1">
        <f t="array" ref="L20">_xlfn.IFS(G20&lt;=49,"Needs Improvement",G20&lt;=69,"Developing",G20&lt;=84,"Achieving",G20&lt;=94,"Exceeding",G20&lt;=100,"Outstanding")</f>
        <v>Exceeding</v>
      </c>
      <c r="M20" s="25">
        <f>F20*_xlfn.XLOOKUP(L20,Lookup_Performance!$C$2:$C$6,Lookup_Performance!$D$2:$D$6,0)</f>
        <v>5918.72</v>
      </c>
    </row>
    <row r="21" spans="1:13" x14ac:dyDescent="0.35">
      <c r="A21" s="5" t="s">
        <v>55</v>
      </c>
      <c r="B21" s="5" t="s">
        <v>56</v>
      </c>
      <c r="C21" s="5" t="s">
        <v>15</v>
      </c>
      <c r="D21" s="14" t="s">
        <v>9</v>
      </c>
      <c r="E21" s="7">
        <v>43235</v>
      </c>
      <c r="F21" s="15">
        <v>82713.429999999993</v>
      </c>
      <c r="G21" s="5">
        <v>75</v>
      </c>
      <c r="H21" s="14" t="s">
        <v>36</v>
      </c>
      <c r="I21" s="14" t="str">
        <f>_xlfn.TEXTJOIN(" ",TRUE, 'Raw_Employee_Data with Fomulas'!$B21,'Raw_Employee_Data with Fomulas'!$C21)</f>
        <v>Amanda Gonzalez</v>
      </c>
      <c r="J21" s="11" t="str">
        <f>_xlfn.XLOOKUP(D21,Lookup_Departments!A:A,Lookup_Departments!B:B)</f>
        <v>Information Technology</v>
      </c>
      <c r="K21" s="11">
        <f t="shared" ca="1" si="0"/>
        <v>8</v>
      </c>
      <c r="L21" t="str" cm="1">
        <f t="array" ref="L21">_xlfn.IFS(G21&lt;=49,"Needs Improvement",G21&lt;=69,"Developing",G21&lt;=84,"Achieving",G21&lt;=94,"Exceeding",G21&lt;=100,"Outstanding")</f>
        <v>Achieving</v>
      </c>
      <c r="M21" s="25">
        <f>F21*_xlfn.XLOOKUP(L21,Lookup_Performance!$C$2:$C$6,Lookup_Performance!$D$2:$D$6,0)</f>
        <v>4135.6714999999995</v>
      </c>
    </row>
    <row r="22" spans="1:13" x14ac:dyDescent="0.35">
      <c r="A22" s="4" t="s">
        <v>57</v>
      </c>
      <c r="B22" s="4" t="s">
        <v>34</v>
      </c>
      <c r="C22" s="4" t="s">
        <v>12</v>
      </c>
      <c r="D22" s="16" t="s">
        <v>19</v>
      </c>
      <c r="E22" s="7">
        <v>42575</v>
      </c>
      <c r="F22" s="17">
        <v>118527</v>
      </c>
      <c r="G22" s="4">
        <v>50</v>
      </c>
      <c r="H22" s="16" t="s">
        <v>36</v>
      </c>
      <c r="I22" s="16" t="str">
        <f>_xlfn.TEXTJOIN(" ",TRUE, 'Raw_Employee_Data with Fomulas'!$B22,'Raw_Employee_Data with Fomulas'!$C22)</f>
        <v>Michael Hernandez</v>
      </c>
      <c r="J22" s="11" t="str">
        <f>_xlfn.XLOOKUP(D22,Lookup_Departments!A:A,Lookup_Departments!B:B)</f>
        <v>Finance</v>
      </c>
      <c r="K22" s="11">
        <f t="shared" ca="1" si="0"/>
        <v>9</v>
      </c>
      <c r="L22" t="str" cm="1">
        <f t="array" ref="L22">_xlfn.IFS(G22&lt;=49,"Needs Improvement",G22&lt;=69,"Developing",G22&lt;=84,"Achieving",G22&lt;=94,"Exceeding",G22&lt;=100,"Outstanding")</f>
        <v>Developing</v>
      </c>
      <c r="M22" s="25">
        <f>F22*_xlfn.XLOOKUP(L22,Lookup_Performance!$C$2:$C$6,Lookup_Performance!$D$2:$D$6,0)</f>
        <v>2370.54</v>
      </c>
    </row>
    <row r="23" spans="1:13" x14ac:dyDescent="0.35">
      <c r="A23" s="5" t="s">
        <v>58</v>
      </c>
      <c r="B23" s="5" t="s">
        <v>11</v>
      </c>
      <c r="C23" s="5" t="s">
        <v>12</v>
      </c>
      <c r="D23" s="14" t="s">
        <v>13</v>
      </c>
      <c r="E23" s="7">
        <v>42928</v>
      </c>
      <c r="F23" s="15">
        <v>107871</v>
      </c>
      <c r="G23" s="5">
        <v>88</v>
      </c>
      <c r="H23" s="14" t="s">
        <v>23</v>
      </c>
      <c r="I23" s="14" t="str">
        <f>_xlfn.TEXTJOIN(" ",TRUE, 'Raw_Employee_Data with Fomulas'!$B23,'Raw_Employee_Data with Fomulas'!$C23)</f>
        <v>Richard Hernandez</v>
      </c>
      <c r="J23" s="11" t="str">
        <f>_xlfn.XLOOKUP(D23,Lookup_Departments!A:A,Lookup_Departments!B:B)</f>
        <v>Marketing</v>
      </c>
      <c r="K23" s="11">
        <f t="shared" ca="1" si="0"/>
        <v>8</v>
      </c>
      <c r="L23" t="str" cm="1">
        <f t="array" ref="L23">_xlfn.IFS(G23&lt;=49,"Needs Improvement",G23&lt;=69,"Developing",G23&lt;=84,"Achieving",G23&lt;=94,"Exceeding",G23&lt;=100,"Outstanding")</f>
        <v>Exceeding</v>
      </c>
      <c r="M23" s="25">
        <f>F23*_xlfn.XLOOKUP(L23,Lookup_Performance!$C$2:$C$6,Lookup_Performance!$D$2:$D$6,0)</f>
        <v>8629.68</v>
      </c>
    </row>
    <row r="24" spans="1:13" x14ac:dyDescent="0.35">
      <c r="A24" s="4" t="s">
        <v>59</v>
      </c>
      <c r="B24" s="4" t="s">
        <v>34</v>
      </c>
      <c r="C24" s="4" t="s">
        <v>32</v>
      </c>
      <c r="D24" s="16" t="s">
        <v>9</v>
      </c>
      <c r="E24" s="7">
        <v>44353</v>
      </c>
      <c r="F24" s="17">
        <v>93956</v>
      </c>
      <c r="G24" s="4">
        <v>50</v>
      </c>
      <c r="H24" s="16" t="s">
        <v>36</v>
      </c>
      <c r="I24" s="16" t="str">
        <f>_xlfn.TEXTJOIN(" ",TRUE, 'Raw_Employee_Data with Fomulas'!$B24,'Raw_Employee_Data with Fomulas'!$C24)</f>
        <v>Michael Rodriguez</v>
      </c>
      <c r="J24" s="11" t="str">
        <f>_xlfn.XLOOKUP(D24,Lookup_Departments!A:A,Lookup_Departments!B:B)</f>
        <v>Information Technology</v>
      </c>
      <c r="K24" s="11">
        <f t="shared" ca="1" si="0"/>
        <v>5</v>
      </c>
      <c r="L24" t="str" cm="1">
        <f t="array" ref="L24">_xlfn.IFS(G24&lt;=49,"Needs Improvement",G24&lt;=69,"Developing",G24&lt;=84,"Achieving",G24&lt;=94,"Exceeding",G24&lt;=100,"Outstanding")</f>
        <v>Developing</v>
      </c>
      <c r="M24" s="25">
        <f>F24*_xlfn.XLOOKUP(L24,Lookup_Performance!$C$2:$C$6,Lookup_Performance!$D$2:$D$6,0)</f>
        <v>1879.1200000000001</v>
      </c>
    </row>
    <row r="25" spans="1:13" x14ac:dyDescent="0.35">
      <c r="A25" s="5" t="s">
        <v>60</v>
      </c>
      <c r="B25" s="5" t="s">
        <v>30</v>
      </c>
      <c r="C25" s="5" t="s">
        <v>25</v>
      </c>
      <c r="D25" s="14" t="s">
        <v>19</v>
      </c>
      <c r="E25" s="7">
        <v>44874</v>
      </c>
      <c r="F25" s="15">
        <v>100851</v>
      </c>
      <c r="G25" s="5">
        <v>64</v>
      </c>
      <c r="H25" s="14" t="s">
        <v>36</v>
      </c>
      <c r="I25" s="14" t="str">
        <f>_xlfn.TEXTJOIN(" ",TRUE, 'Raw_Employee_Data with Fomulas'!$B25,'Raw_Employee_Data with Fomulas'!$C25)</f>
        <v>Jessica Johnson</v>
      </c>
      <c r="J25" s="11" t="str">
        <f>_xlfn.XLOOKUP(D25,Lookup_Departments!A:A,Lookup_Departments!B:B)</f>
        <v>Finance</v>
      </c>
      <c r="K25" s="11">
        <f t="shared" ca="1" si="0"/>
        <v>3</v>
      </c>
      <c r="L25" t="str" cm="1">
        <f t="array" ref="L25">_xlfn.IFS(G25&lt;=49,"Needs Improvement",G25&lt;=69,"Developing",G25&lt;=84,"Achieving",G25&lt;=94,"Exceeding",G25&lt;=100,"Outstanding")</f>
        <v>Developing</v>
      </c>
      <c r="M25" s="25">
        <f>F25*_xlfn.XLOOKUP(L25,Lookup_Performance!$C$2:$C$6,Lookup_Performance!$D$2:$D$6,0)</f>
        <v>2017.02</v>
      </c>
    </row>
    <row r="26" spans="1:13" x14ac:dyDescent="0.35">
      <c r="A26" s="4" t="s">
        <v>61</v>
      </c>
      <c r="B26" s="4" t="s">
        <v>53</v>
      </c>
      <c r="C26" s="4" t="s">
        <v>42</v>
      </c>
      <c r="D26" s="16" t="s">
        <v>35</v>
      </c>
      <c r="E26" s="7">
        <v>42565</v>
      </c>
      <c r="F26" s="17">
        <v>68655</v>
      </c>
      <c r="G26" s="4">
        <v>32</v>
      </c>
      <c r="H26" s="16" t="s">
        <v>36</v>
      </c>
      <c r="I26" s="16" t="str">
        <f>_xlfn.TEXTJOIN(" ",TRUE, 'Raw_Employee_Data with Fomulas'!$B26,'Raw_Employee_Data with Fomulas'!$C26)</f>
        <v>Ashley Williams</v>
      </c>
      <c r="J26" s="11" t="str">
        <f>_xlfn.XLOOKUP(D26,Lookup_Departments!A:A,Lookup_Departments!B:B)</f>
        <v>Sales</v>
      </c>
      <c r="K26" s="11">
        <f t="shared" ca="1" si="0"/>
        <v>9</v>
      </c>
      <c r="L26" t="str" cm="1">
        <f t="array" ref="L26">_xlfn.IFS(G26&lt;=49,"Needs Improvement",G26&lt;=69,"Developing",G26&lt;=84,"Achieving",G26&lt;=94,"Exceeding",G26&lt;=100,"Outstanding")</f>
        <v>Needs Improvement</v>
      </c>
      <c r="M26" s="25">
        <f>F26*_xlfn.XLOOKUP(L26,Lookup_Performance!$C$2:$C$6,Lookup_Performance!$D$2:$D$6,0)</f>
        <v>0</v>
      </c>
    </row>
    <row r="27" spans="1:13" x14ac:dyDescent="0.35">
      <c r="A27" s="5" t="s">
        <v>62</v>
      </c>
      <c r="B27" s="5" t="s">
        <v>7</v>
      </c>
      <c r="C27" s="5" t="s">
        <v>42</v>
      </c>
      <c r="D27" s="14" t="s">
        <v>35</v>
      </c>
      <c r="E27" s="7">
        <v>44728</v>
      </c>
      <c r="F27" s="15">
        <v>81205</v>
      </c>
      <c r="G27" s="5">
        <v>59</v>
      </c>
      <c r="H27" s="14" t="s">
        <v>36</v>
      </c>
      <c r="I27" s="14" t="str">
        <f>_xlfn.TEXTJOIN(" ",TRUE, 'Raw_Employee_Data with Fomulas'!$B27,'Raw_Employee_Data with Fomulas'!$C27)</f>
        <v>Emily Williams</v>
      </c>
      <c r="J27" s="11" t="str">
        <f>_xlfn.XLOOKUP(D27,Lookup_Departments!A:A,Lookup_Departments!B:B)</f>
        <v>Sales</v>
      </c>
      <c r="K27" s="11">
        <f t="shared" ca="1" si="0"/>
        <v>4</v>
      </c>
      <c r="L27" t="str" cm="1">
        <f t="array" ref="L27">_xlfn.IFS(G27&lt;=49,"Needs Improvement",G27&lt;=69,"Developing",G27&lt;=84,"Achieving",G27&lt;=94,"Exceeding",G27&lt;=100,"Outstanding")</f>
        <v>Developing</v>
      </c>
      <c r="M27" s="25">
        <f>F27*_xlfn.XLOOKUP(L27,Lookup_Performance!$C$2:$C$6,Lookup_Performance!$D$2:$D$6,0)</f>
        <v>1624.1000000000001</v>
      </c>
    </row>
    <row r="28" spans="1:13" x14ac:dyDescent="0.35">
      <c r="A28" s="4" t="s">
        <v>63</v>
      </c>
      <c r="B28" s="4" t="s">
        <v>17</v>
      </c>
      <c r="C28" s="4" t="s">
        <v>28</v>
      </c>
      <c r="D28" s="16" t="s">
        <v>35</v>
      </c>
      <c r="E28" s="7">
        <v>45134</v>
      </c>
      <c r="F28" s="17">
        <v>77610</v>
      </c>
      <c r="G28" s="4">
        <v>88</v>
      </c>
      <c r="H28" s="16" t="s">
        <v>36</v>
      </c>
      <c r="I28" s="16" t="str">
        <f>_xlfn.TEXTJOIN(" ",TRUE, 'Raw_Employee_Data with Fomulas'!$B28,'Raw_Employee_Data with Fomulas'!$C28)</f>
        <v>John Wilson</v>
      </c>
      <c r="J28" s="11" t="str">
        <f>_xlfn.XLOOKUP(D28,Lookup_Departments!A:A,Lookup_Departments!B:B)</f>
        <v>Sales</v>
      </c>
      <c r="K28" s="11">
        <f t="shared" ca="1" si="0"/>
        <v>2</v>
      </c>
      <c r="L28" t="str" cm="1">
        <f t="array" ref="L28">_xlfn.IFS(G28&lt;=49,"Needs Improvement",G28&lt;=69,"Developing",G28&lt;=84,"Achieving",G28&lt;=94,"Exceeding",G28&lt;=100,"Outstanding")</f>
        <v>Exceeding</v>
      </c>
      <c r="M28" s="25">
        <f>F28*_xlfn.XLOOKUP(L28,Lookup_Performance!$C$2:$C$6,Lookup_Performance!$D$2:$D$6,0)</f>
        <v>6208.8</v>
      </c>
    </row>
    <row r="29" spans="1:13" x14ac:dyDescent="0.35">
      <c r="A29" s="5" t="s">
        <v>64</v>
      </c>
      <c r="B29" s="5" t="s">
        <v>21</v>
      </c>
      <c r="C29" s="5" t="s">
        <v>32</v>
      </c>
      <c r="D29" s="14" t="s">
        <v>9</v>
      </c>
      <c r="E29" s="7">
        <v>43732</v>
      </c>
      <c r="F29" s="15">
        <v>50873</v>
      </c>
      <c r="G29" s="5">
        <v>90</v>
      </c>
      <c r="H29" s="14" t="s">
        <v>36</v>
      </c>
      <c r="I29" s="14" t="str">
        <f>_xlfn.TEXTJOIN(" ",TRUE, 'Raw_Employee_Data with Fomulas'!$B29,'Raw_Employee_Data with Fomulas'!$C29)</f>
        <v>Thomas Rodriguez</v>
      </c>
      <c r="J29" s="11" t="str">
        <f>_xlfn.XLOOKUP(D29,Lookup_Departments!A:A,Lookup_Departments!B:B)</f>
        <v>Information Technology</v>
      </c>
      <c r="K29" s="11">
        <f t="shared" ca="1" si="0"/>
        <v>6</v>
      </c>
      <c r="L29" t="str" cm="1">
        <f t="array" ref="L29">_xlfn.IFS(G29&lt;=49,"Needs Improvement",G29&lt;=69,"Developing",G29&lt;=84,"Achieving",G29&lt;=94,"Exceeding",G29&lt;=100,"Outstanding")</f>
        <v>Exceeding</v>
      </c>
      <c r="M29" s="25">
        <f>F29*_xlfn.XLOOKUP(L29,Lookup_Performance!$C$2:$C$6,Lookup_Performance!$D$2:$D$6,0)</f>
        <v>4069.84</v>
      </c>
    </row>
    <row r="30" spans="1:13" x14ac:dyDescent="0.35">
      <c r="A30" s="4" t="s">
        <v>65</v>
      </c>
      <c r="B30" s="4" t="s">
        <v>34</v>
      </c>
      <c r="C30" s="4" t="s">
        <v>28</v>
      </c>
      <c r="D30" s="16" t="s">
        <v>19</v>
      </c>
      <c r="E30" s="7">
        <v>44765</v>
      </c>
      <c r="F30" s="17">
        <v>85312</v>
      </c>
      <c r="G30" s="4">
        <v>66</v>
      </c>
      <c r="H30" s="16" t="s">
        <v>36</v>
      </c>
      <c r="I30" s="16" t="str">
        <f>_xlfn.TEXTJOIN(" ",TRUE, 'Raw_Employee_Data with Fomulas'!$B30,'Raw_Employee_Data with Fomulas'!$C30)</f>
        <v>Michael Wilson</v>
      </c>
      <c r="J30" s="11" t="str">
        <f>_xlfn.XLOOKUP(D30,Lookup_Departments!A:A,Lookup_Departments!B:B)</f>
        <v>Finance</v>
      </c>
      <c r="K30" s="11">
        <f t="shared" ca="1" si="0"/>
        <v>3</v>
      </c>
      <c r="L30" t="str" cm="1">
        <f t="array" ref="L30">_xlfn.IFS(G30&lt;=49,"Needs Improvement",G30&lt;=69,"Developing",G30&lt;=84,"Achieving",G30&lt;=94,"Exceeding",G30&lt;=100,"Outstanding")</f>
        <v>Developing</v>
      </c>
      <c r="M30" s="25">
        <f>F30*_xlfn.XLOOKUP(L30,Lookup_Performance!$C$2:$C$6,Lookup_Performance!$D$2:$D$6,0)</f>
        <v>1706.24</v>
      </c>
    </row>
    <row r="31" spans="1:13" x14ac:dyDescent="0.35">
      <c r="A31" s="5" t="s">
        <v>66</v>
      </c>
      <c r="B31" s="5" t="s">
        <v>17</v>
      </c>
      <c r="C31" s="5" t="s">
        <v>32</v>
      </c>
      <c r="D31" s="14" t="s">
        <v>35</v>
      </c>
      <c r="E31" s="7">
        <v>43233</v>
      </c>
      <c r="F31" s="15">
        <v>82713.429999999993</v>
      </c>
      <c r="G31" s="5">
        <v>68</v>
      </c>
      <c r="H31" s="14" t="s">
        <v>36</v>
      </c>
      <c r="I31" s="14" t="str">
        <f>_xlfn.TEXTJOIN(" ",TRUE, 'Raw_Employee_Data with Fomulas'!$B31,'Raw_Employee_Data with Fomulas'!$C31)</f>
        <v>John Rodriguez</v>
      </c>
      <c r="J31" s="11" t="str">
        <f>_xlfn.XLOOKUP(D31,Lookup_Departments!A:A,Lookup_Departments!B:B)</f>
        <v>Sales</v>
      </c>
      <c r="K31" s="11">
        <f t="shared" ca="1" si="0"/>
        <v>8</v>
      </c>
      <c r="L31" t="str" cm="1">
        <f t="array" ref="L31">_xlfn.IFS(G31&lt;=49,"Needs Improvement",G31&lt;=69,"Developing",G31&lt;=84,"Achieving",G31&lt;=94,"Exceeding",G31&lt;=100,"Outstanding")</f>
        <v>Developing</v>
      </c>
      <c r="M31" s="25">
        <f>F31*_xlfn.XLOOKUP(L31,Lookup_Performance!$C$2:$C$6,Lookup_Performance!$D$2:$D$6,0)</f>
        <v>1654.2685999999999</v>
      </c>
    </row>
    <row r="32" spans="1:13" x14ac:dyDescent="0.35">
      <c r="A32" s="4" t="s">
        <v>67</v>
      </c>
      <c r="B32" s="4" t="s">
        <v>21</v>
      </c>
      <c r="C32" s="4" t="s">
        <v>12</v>
      </c>
      <c r="D32" s="16" t="s">
        <v>26</v>
      </c>
      <c r="E32" s="7">
        <v>42202</v>
      </c>
      <c r="F32" s="17">
        <v>97055</v>
      </c>
      <c r="G32" s="4">
        <v>80</v>
      </c>
      <c r="H32" s="16" t="s">
        <v>36</v>
      </c>
      <c r="I32" s="16" t="str">
        <f>_xlfn.TEXTJOIN(" ",TRUE, 'Raw_Employee_Data with Fomulas'!$B32,'Raw_Employee_Data with Fomulas'!$C32)</f>
        <v>Thomas Hernandez</v>
      </c>
      <c r="J32" s="11" t="str">
        <f>_xlfn.XLOOKUP(D32,Lookup_Departments!A:A,Lookup_Departments!B:B)</f>
        <v>Operations</v>
      </c>
      <c r="K32" s="11">
        <f t="shared" ca="1" si="0"/>
        <v>10</v>
      </c>
      <c r="L32" t="str" cm="1">
        <f t="array" ref="L32">_xlfn.IFS(G32&lt;=49,"Needs Improvement",G32&lt;=69,"Developing",G32&lt;=84,"Achieving",G32&lt;=94,"Exceeding",G32&lt;=100,"Outstanding")</f>
        <v>Achieving</v>
      </c>
      <c r="M32" s="25">
        <f>F32*_xlfn.XLOOKUP(L32,Lookup_Performance!$C$2:$C$6,Lookup_Performance!$D$2:$D$6,0)</f>
        <v>4852.75</v>
      </c>
    </row>
    <row r="33" spans="1:13" x14ac:dyDescent="0.35">
      <c r="A33" s="5" t="s">
        <v>68</v>
      </c>
      <c r="B33" s="5" t="s">
        <v>34</v>
      </c>
      <c r="C33" s="5" t="s">
        <v>25</v>
      </c>
      <c r="D33" s="14" t="s">
        <v>9</v>
      </c>
      <c r="E33" s="7">
        <v>42221</v>
      </c>
      <c r="F33" s="15">
        <v>66069</v>
      </c>
      <c r="G33" s="5">
        <v>72</v>
      </c>
      <c r="H33" s="14" t="s">
        <v>36</v>
      </c>
      <c r="I33" s="14" t="str">
        <f>_xlfn.TEXTJOIN(" ",TRUE, 'Raw_Employee_Data with Fomulas'!$B33,'Raw_Employee_Data with Fomulas'!$C33)</f>
        <v>Michael Johnson</v>
      </c>
      <c r="J33" s="11" t="str">
        <f>_xlfn.XLOOKUP(D33,Lookup_Departments!A:A,Lookup_Departments!B:B)</f>
        <v>Information Technology</v>
      </c>
      <c r="K33" s="11">
        <f t="shared" ca="1" si="0"/>
        <v>10</v>
      </c>
      <c r="L33" t="str" cm="1">
        <f t="array" ref="L33">_xlfn.IFS(G33&lt;=49,"Needs Improvement",G33&lt;=69,"Developing",G33&lt;=84,"Achieving",G33&lt;=94,"Exceeding",G33&lt;=100,"Outstanding")</f>
        <v>Achieving</v>
      </c>
      <c r="M33" s="25">
        <f>F33*_xlfn.XLOOKUP(L33,Lookup_Performance!$C$2:$C$6,Lookup_Performance!$D$2:$D$6,0)</f>
        <v>3303.4500000000003</v>
      </c>
    </row>
    <row r="34" spans="1:13" x14ac:dyDescent="0.35">
      <c r="A34" s="4" t="s">
        <v>69</v>
      </c>
      <c r="B34" s="4" t="s">
        <v>70</v>
      </c>
      <c r="C34" s="4" t="s">
        <v>8</v>
      </c>
      <c r="D34" s="16" t="s">
        <v>9</v>
      </c>
      <c r="E34" s="7">
        <v>45195</v>
      </c>
      <c r="F34" s="17">
        <v>90157</v>
      </c>
      <c r="G34" s="4">
        <v>58</v>
      </c>
      <c r="H34" s="16" t="s">
        <v>36</v>
      </c>
      <c r="I34" s="16" t="str">
        <f>_xlfn.TEXTJOIN(" ",TRUE, 'Raw_Employee_Data with Fomulas'!$B34,'Raw_Employee_Data with Fomulas'!$C34)</f>
        <v>Sarah Brown</v>
      </c>
      <c r="J34" s="11" t="str">
        <f>_xlfn.XLOOKUP(D34,Lookup_Departments!A:A,Lookup_Departments!B:B)</f>
        <v>Information Technology</v>
      </c>
      <c r="K34" s="11">
        <f t="shared" ca="1" si="0"/>
        <v>2</v>
      </c>
      <c r="L34" t="str" cm="1">
        <f t="array" ref="L34">_xlfn.IFS(G34&lt;=49,"Needs Improvement",G34&lt;=69,"Developing",G34&lt;=84,"Achieving",G34&lt;=94,"Exceeding",G34&lt;=100,"Outstanding")</f>
        <v>Developing</v>
      </c>
      <c r="M34" s="25">
        <f>F34*_xlfn.XLOOKUP(L34,Lookup_Performance!$C$2:$C$6,Lookup_Performance!$D$2:$D$6,0)</f>
        <v>1803.14</v>
      </c>
    </row>
    <row r="35" spans="1:13" x14ac:dyDescent="0.35">
      <c r="A35" s="5" t="s">
        <v>71</v>
      </c>
      <c r="B35" s="5" t="s">
        <v>41</v>
      </c>
      <c r="C35" s="5" t="s">
        <v>18</v>
      </c>
      <c r="D35" s="14" t="s">
        <v>72</v>
      </c>
      <c r="E35" s="7">
        <v>43626</v>
      </c>
      <c r="F35" s="15">
        <v>59899</v>
      </c>
      <c r="G35" s="5">
        <v>78</v>
      </c>
      <c r="H35" s="14" t="s">
        <v>36</v>
      </c>
      <c r="I35" s="14" t="str">
        <f>_xlfn.TEXTJOIN(" ",TRUE, 'Raw_Employee_Data with Fomulas'!$B35,'Raw_Employee_Data with Fomulas'!$C35)</f>
        <v>Jane Martinez</v>
      </c>
      <c r="J35" s="11" t="str">
        <f>_xlfn.XLOOKUP(D35,Lookup_Departments!A:A,Lookup_Departments!B:B)</f>
        <v>Human Resources</v>
      </c>
      <c r="K35" s="11">
        <f t="shared" ca="1" si="0"/>
        <v>7</v>
      </c>
      <c r="L35" t="str" cm="1">
        <f t="array" ref="L35">_xlfn.IFS(G35&lt;=49,"Needs Improvement",G35&lt;=69,"Developing",G35&lt;=84,"Achieving",G35&lt;=94,"Exceeding",G35&lt;=100,"Outstanding")</f>
        <v>Achieving</v>
      </c>
      <c r="M35" s="25">
        <f>F35*_xlfn.XLOOKUP(L35,Lookup_Performance!$C$2:$C$6,Lookup_Performance!$D$2:$D$6,0)</f>
        <v>2994.9500000000003</v>
      </c>
    </row>
    <row r="36" spans="1:13" x14ac:dyDescent="0.35">
      <c r="A36" s="4" t="s">
        <v>73</v>
      </c>
      <c r="B36" s="4" t="s">
        <v>7</v>
      </c>
      <c r="C36" s="4" t="s">
        <v>46</v>
      </c>
      <c r="D36" s="16" t="s">
        <v>19</v>
      </c>
      <c r="E36" s="7">
        <v>44578</v>
      </c>
      <c r="F36" s="17">
        <v>113389</v>
      </c>
      <c r="G36" s="4">
        <v>30</v>
      </c>
      <c r="H36" s="16" t="s">
        <v>36</v>
      </c>
      <c r="I36" s="16" t="str">
        <f>_xlfn.TEXTJOIN(" ",TRUE, 'Raw_Employee_Data with Fomulas'!$B36,'Raw_Employee_Data with Fomulas'!$C36)</f>
        <v>Emily Jones</v>
      </c>
      <c r="J36" s="11" t="str">
        <f>_xlfn.XLOOKUP(D36,Lookup_Departments!A:A,Lookup_Departments!B:B)</f>
        <v>Finance</v>
      </c>
      <c r="K36" s="11">
        <f t="shared" ca="1" si="0"/>
        <v>4</v>
      </c>
      <c r="L36" t="str" cm="1">
        <f t="array" ref="L36">_xlfn.IFS(G36&lt;=49,"Needs Improvement",G36&lt;=69,"Developing",G36&lt;=84,"Achieving",G36&lt;=94,"Exceeding",G36&lt;=100,"Outstanding")</f>
        <v>Needs Improvement</v>
      </c>
      <c r="M36" s="25">
        <f>F36*_xlfn.XLOOKUP(L36,Lookup_Performance!$C$2:$C$6,Lookup_Performance!$D$2:$D$6,0)</f>
        <v>0</v>
      </c>
    </row>
    <row r="37" spans="1:13" x14ac:dyDescent="0.35">
      <c r="A37" s="5" t="s">
        <v>74</v>
      </c>
      <c r="B37" s="5" t="s">
        <v>7</v>
      </c>
      <c r="C37" s="5" t="s">
        <v>8</v>
      </c>
      <c r="D37" s="14" t="s">
        <v>9</v>
      </c>
      <c r="E37" s="7">
        <v>42919</v>
      </c>
      <c r="F37" s="15">
        <v>102691</v>
      </c>
      <c r="G37" s="5">
        <v>52</v>
      </c>
      <c r="H37" s="14" t="s">
        <v>36</v>
      </c>
      <c r="I37" s="14" t="str">
        <f>_xlfn.TEXTJOIN(" ",TRUE, 'Raw_Employee_Data with Fomulas'!$B37,'Raw_Employee_Data with Fomulas'!$C37)</f>
        <v>Emily Brown</v>
      </c>
      <c r="J37" s="11" t="str">
        <f>_xlfn.XLOOKUP(D37,Lookup_Departments!A:A,Lookup_Departments!B:B)</f>
        <v>Information Technology</v>
      </c>
      <c r="K37" s="11">
        <f t="shared" ca="1" si="0"/>
        <v>9</v>
      </c>
      <c r="L37" t="str" cm="1">
        <f t="array" ref="L37">_xlfn.IFS(G37&lt;=49,"Needs Improvement",G37&lt;=69,"Developing",G37&lt;=84,"Achieving",G37&lt;=94,"Exceeding",G37&lt;=100,"Outstanding")</f>
        <v>Developing</v>
      </c>
      <c r="M37" s="25">
        <f>F37*_xlfn.XLOOKUP(L37,Lookup_Performance!$C$2:$C$6,Lookup_Performance!$D$2:$D$6,0)</f>
        <v>2053.8200000000002</v>
      </c>
    </row>
    <row r="38" spans="1:13" x14ac:dyDescent="0.35">
      <c r="A38" s="4" t="s">
        <v>75</v>
      </c>
      <c r="B38" s="4" t="s">
        <v>17</v>
      </c>
      <c r="C38" s="4" t="s">
        <v>28</v>
      </c>
      <c r="D38" s="16" t="s">
        <v>26</v>
      </c>
      <c r="E38" s="7">
        <v>42248</v>
      </c>
      <c r="F38" s="17">
        <v>111845</v>
      </c>
      <c r="G38" s="4">
        <v>98</v>
      </c>
      <c r="H38" s="16" t="s">
        <v>36</v>
      </c>
      <c r="I38" s="16" t="str">
        <f>_xlfn.TEXTJOIN(" ",TRUE, 'Raw_Employee_Data with Fomulas'!$B38,'Raw_Employee_Data with Fomulas'!$C38)</f>
        <v>John Wilson</v>
      </c>
      <c r="J38" s="11" t="str">
        <f>_xlfn.XLOOKUP(D38,Lookup_Departments!A:A,Lookup_Departments!B:B)</f>
        <v>Operations</v>
      </c>
      <c r="K38" s="11">
        <f t="shared" ca="1" si="0"/>
        <v>10</v>
      </c>
      <c r="L38" t="str" cm="1">
        <f t="array" ref="L38">_xlfn.IFS(G38&lt;=49,"Needs Improvement",G38&lt;=69,"Developing",G38&lt;=84,"Achieving",G38&lt;=94,"Exceeding",G38&lt;=100,"Outstanding")</f>
        <v>Outstanding</v>
      </c>
      <c r="M38" s="25">
        <f>F38*_xlfn.XLOOKUP(L38,Lookup_Performance!$C$2:$C$6,Lookup_Performance!$D$2:$D$6,0)</f>
        <v>13421.4</v>
      </c>
    </row>
    <row r="39" spans="1:13" x14ac:dyDescent="0.35">
      <c r="A39" s="5" t="s">
        <v>76</v>
      </c>
      <c r="B39" s="5" t="s">
        <v>77</v>
      </c>
      <c r="C39" s="5" t="s">
        <v>8</v>
      </c>
      <c r="D39" s="14" t="s">
        <v>35</v>
      </c>
      <c r="E39" s="7">
        <v>44776</v>
      </c>
      <c r="F39" s="15">
        <v>69219</v>
      </c>
      <c r="G39" s="5">
        <v>93</v>
      </c>
      <c r="H39" s="14" t="s">
        <v>23</v>
      </c>
      <c r="I39" s="14" t="str">
        <f>_xlfn.TEXTJOIN(" ",TRUE, 'Raw_Employee_Data with Fomulas'!$B39,'Raw_Employee_Data with Fomulas'!$C39)</f>
        <v>Melissa Brown</v>
      </c>
      <c r="J39" s="11" t="str">
        <f>_xlfn.XLOOKUP(D39,Lookup_Departments!A:A,Lookup_Departments!B:B)</f>
        <v>Sales</v>
      </c>
      <c r="K39" s="11">
        <f t="shared" ca="1" si="0"/>
        <v>3</v>
      </c>
      <c r="L39" t="str" cm="1">
        <f t="array" ref="L39">_xlfn.IFS(G39&lt;=49,"Needs Improvement",G39&lt;=69,"Developing",G39&lt;=84,"Achieving",G39&lt;=94,"Exceeding",G39&lt;=100,"Outstanding")</f>
        <v>Exceeding</v>
      </c>
      <c r="M39" s="25">
        <f>F39*_xlfn.XLOOKUP(L39,Lookup_Performance!$C$2:$C$6,Lookup_Performance!$D$2:$D$6,0)</f>
        <v>5537.52</v>
      </c>
    </row>
    <row r="40" spans="1:13" x14ac:dyDescent="0.35">
      <c r="A40" s="4" t="s">
        <v>78</v>
      </c>
      <c r="B40" s="4" t="s">
        <v>34</v>
      </c>
      <c r="C40" s="4" t="s">
        <v>22</v>
      </c>
      <c r="D40" s="16" t="s">
        <v>19</v>
      </c>
      <c r="E40" s="7">
        <v>44741</v>
      </c>
      <c r="F40" s="17">
        <v>82713.429999999993</v>
      </c>
      <c r="G40" s="4">
        <v>80</v>
      </c>
      <c r="H40" s="16" t="s">
        <v>36</v>
      </c>
      <c r="I40" s="16" t="str">
        <f>_xlfn.TEXTJOIN(" ",TRUE, 'Raw_Employee_Data with Fomulas'!$B40,'Raw_Employee_Data with Fomulas'!$C40)</f>
        <v>Michael Smith</v>
      </c>
      <c r="J40" s="11" t="str">
        <f>_xlfn.XLOOKUP(D40,Lookup_Departments!A:A,Lookup_Departments!B:B)</f>
        <v>Finance</v>
      </c>
      <c r="K40" s="11">
        <f t="shared" ca="1" si="0"/>
        <v>4</v>
      </c>
      <c r="L40" t="str" cm="1">
        <f t="array" ref="L40">_xlfn.IFS(G40&lt;=49,"Needs Improvement",G40&lt;=69,"Developing",G40&lt;=84,"Achieving",G40&lt;=94,"Exceeding",G40&lt;=100,"Outstanding")</f>
        <v>Achieving</v>
      </c>
      <c r="M40" s="25">
        <f>F40*_xlfn.XLOOKUP(L40,Lookup_Performance!$C$2:$C$6,Lookup_Performance!$D$2:$D$6,0)</f>
        <v>4135.6714999999995</v>
      </c>
    </row>
    <row r="41" spans="1:13" x14ac:dyDescent="0.35">
      <c r="A41" s="5" t="s">
        <v>79</v>
      </c>
      <c r="B41" s="5" t="s">
        <v>70</v>
      </c>
      <c r="C41" s="5" t="s">
        <v>38</v>
      </c>
      <c r="D41" s="14" t="s">
        <v>26</v>
      </c>
      <c r="E41" s="7">
        <v>43949</v>
      </c>
      <c r="F41" s="15">
        <v>57514</v>
      </c>
      <c r="G41" s="5">
        <v>68</v>
      </c>
      <c r="H41" s="14" t="s">
        <v>23</v>
      </c>
      <c r="I41" s="14" t="str">
        <f>_xlfn.TEXTJOIN(" ",TRUE, 'Raw_Employee_Data with Fomulas'!$B41,'Raw_Employee_Data with Fomulas'!$C41)</f>
        <v>Sarah Miller</v>
      </c>
      <c r="J41" s="11" t="str">
        <f>_xlfn.XLOOKUP(D41,Lookup_Departments!A:A,Lookup_Departments!B:B)</f>
        <v>Operations</v>
      </c>
      <c r="K41" s="11">
        <f t="shared" ca="1" si="0"/>
        <v>6</v>
      </c>
      <c r="L41" t="str" cm="1">
        <f t="array" ref="L41">_xlfn.IFS(G41&lt;=49,"Needs Improvement",G41&lt;=69,"Developing",G41&lt;=84,"Achieving",G41&lt;=94,"Exceeding",G41&lt;=100,"Outstanding")</f>
        <v>Developing</v>
      </c>
      <c r="M41" s="25">
        <f>F41*_xlfn.XLOOKUP(L41,Lookup_Performance!$C$2:$C$6,Lookup_Performance!$D$2:$D$6,0)</f>
        <v>1150.28</v>
      </c>
    </row>
    <row r="42" spans="1:13" x14ac:dyDescent="0.35">
      <c r="A42" s="4" t="s">
        <v>80</v>
      </c>
      <c r="B42" s="4" t="s">
        <v>7</v>
      </c>
      <c r="C42" s="4" t="s">
        <v>28</v>
      </c>
      <c r="D42" s="16" t="s">
        <v>35</v>
      </c>
      <c r="E42" s="7">
        <v>42987</v>
      </c>
      <c r="F42" s="17">
        <v>86245</v>
      </c>
      <c r="G42" s="4">
        <v>71</v>
      </c>
      <c r="H42" s="16" t="s">
        <v>36</v>
      </c>
      <c r="I42" s="16" t="str">
        <f>_xlfn.TEXTJOIN(" ",TRUE, 'Raw_Employee_Data with Fomulas'!$B42,'Raw_Employee_Data with Fomulas'!$C42)</f>
        <v>Emily Wilson</v>
      </c>
      <c r="J42" s="11" t="str">
        <f>_xlfn.XLOOKUP(D42,Lookup_Departments!A:A,Lookup_Departments!B:B)</f>
        <v>Sales</v>
      </c>
      <c r="K42" s="11">
        <f t="shared" ca="1" si="0"/>
        <v>8</v>
      </c>
      <c r="L42" t="str" cm="1">
        <f t="array" ref="L42">_xlfn.IFS(G42&lt;=49,"Needs Improvement",G42&lt;=69,"Developing",G42&lt;=84,"Achieving",G42&lt;=94,"Exceeding",G42&lt;=100,"Outstanding")</f>
        <v>Achieving</v>
      </c>
      <c r="M42" s="25">
        <f>F42*_xlfn.XLOOKUP(L42,Lookup_Performance!$C$2:$C$6,Lookup_Performance!$D$2:$D$6,0)</f>
        <v>4312.25</v>
      </c>
    </row>
    <row r="43" spans="1:13" x14ac:dyDescent="0.35">
      <c r="A43" s="5" t="s">
        <v>81</v>
      </c>
      <c r="B43" s="5" t="s">
        <v>82</v>
      </c>
      <c r="C43" s="5" t="s">
        <v>12</v>
      </c>
      <c r="D43" s="14" t="s">
        <v>35</v>
      </c>
      <c r="E43" s="7">
        <v>43181</v>
      </c>
      <c r="F43" s="15">
        <v>52407</v>
      </c>
      <c r="G43" s="5">
        <v>55</v>
      </c>
      <c r="H43" s="14" t="s">
        <v>84</v>
      </c>
      <c r="I43" s="14" t="str">
        <f>_xlfn.TEXTJOIN(" ",TRUE, 'Raw_Employee_Data with Fomulas'!$B43,'Raw_Employee_Data with Fomulas'!$C43)</f>
        <v>David Hernandez</v>
      </c>
      <c r="J43" s="11" t="str">
        <f>_xlfn.XLOOKUP(D43,Lookup_Departments!A:A,Lookup_Departments!B:B)</f>
        <v>Sales</v>
      </c>
      <c r="K43" s="11">
        <f t="shared" ca="1" si="0"/>
        <v>8</v>
      </c>
      <c r="L43" t="str" cm="1">
        <f t="array" ref="L43">_xlfn.IFS(G43&lt;=49,"Needs Improvement",G43&lt;=69,"Developing",G43&lt;=84,"Achieving",G43&lt;=94,"Exceeding",G43&lt;=100,"Outstanding")</f>
        <v>Developing</v>
      </c>
      <c r="M43" s="25">
        <f>F43*_xlfn.XLOOKUP(L43,Lookup_Performance!$C$2:$C$6,Lookup_Performance!$D$2:$D$6,0)</f>
        <v>1048.1400000000001</v>
      </c>
    </row>
    <row r="44" spans="1:13" x14ac:dyDescent="0.35">
      <c r="A44" s="4" t="s">
        <v>83</v>
      </c>
      <c r="B44" s="4" t="s">
        <v>51</v>
      </c>
      <c r="C44" s="4" t="s">
        <v>22</v>
      </c>
      <c r="D44" s="16" t="s">
        <v>26</v>
      </c>
      <c r="E44" s="7">
        <v>44017</v>
      </c>
      <c r="F44" s="17">
        <v>66606</v>
      </c>
      <c r="G44" s="4">
        <v>93</v>
      </c>
      <c r="H44" s="16" t="s">
        <v>84</v>
      </c>
      <c r="I44" s="16" t="str">
        <f>_xlfn.TEXTJOIN(" ",TRUE, 'Raw_Employee_Data with Fomulas'!$B44,'Raw_Employee_Data with Fomulas'!$C44)</f>
        <v>James Smith</v>
      </c>
      <c r="J44" s="11" t="str">
        <f>_xlfn.XLOOKUP(D44,Lookup_Departments!A:A,Lookup_Departments!B:B)</f>
        <v>Operations</v>
      </c>
      <c r="K44" s="11">
        <f t="shared" ca="1" si="0"/>
        <v>6</v>
      </c>
      <c r="L44" t="str" cm="1">
        <f t="array" ref="L44">_xlfn.IFS(G44&lt;=49,"Needs Improvement",G44&lt;=69,"Developing",G44&lt;=84,"Achieving",G44&lt;=94,"Exceeding",G44&lt;=100,"Outstanding")</f>
        <v>Exceeding</v>
      </c>
      <c r="M44" s="25">
        <f>F44*_xlfn.XLOOKUP(L44,Lookup_Performance!$C$2:$C$6,Lookup_Performance!$D$2:$D$6,0)</f>
        <v>5328.4800000000005</v>
      </c>
    </row>
    <row r="45" spans="1:13" x14ac:dyDescent="0.35">
      <c r="A45" s="5" t="s">
        <v>85</v>
      </c>
      <c r="B45" s="5" t="s">
        <v>70</v>
      </c>
      <c r="C45" s="5" t="s">
        <v>42</v>
      </c>
      <c r="D45" s="14" t="s">
        <v>9</v>
      </c>
      <c r="E45" s="7">
        <v>43549</v>
      </c>
      <c r="F45" s="15">
        <v>81896</v>
      </c>
      <c r="G45" s="5">
        <v>79</v>
      </c>
      <c r="H45" s="14" t="s">
        <v>36</v>
      </c>
      <c r="I45" s="14" t="str">
        <f>_xlfn.TEXTJOIN(" ",TRUE, 'Raw_Employee_Data with Fomulas'!$B45,'Raw_Employee_Data with Fomulas'!$C45)</f>
        <v>Sarah Williams</v>
      </c>
      <c r="J45" s="11" t="str">
        <f>_xlfn.XLOOKUP(D45,Lookup_Departments!A:A,Lookup_Departments!B:B)</f>
        <v>Information Technology</v>
      </c>
      <c r="K45" s="11">
        <f t="shared" ca="1" si="0"/>
        <v>7</v>
      </c>
      <c r="L45" t="str" cm="1">
        <f t="array" ref="L45">_xlfn.IFS(G45&lt;=49,"Needs Improvement",G45&lt;=69,"Developing",G45&lt;=84,"Achieving",G45&lt;=94,"Exceeding",G45&lt;=100,"Outstanding")</f>
        <v>Achieving</v>
      </c>
      <c r="M45" s="25">
        <f>F45*_xlfn.XLOOKUP(L45,Lookup_Performance!$C$2:$C$6,Lookup_Performance!$D$2:$D$6,0)</f>
        <v>4094.8</v>
      </c>
    </row>
    <row r="46" spans="1:13" x14ac:dyDescent="0.35">
      <c r="A46" s="4" t="s">
        <v>86</v>
      </c>
      <c r="B46" s="4" t="s">
        <v>56</v>
      </c>
      <c r="C46" s="4" t="s">
        <v>54</v>
      </c>
      <c r="D46" s="16" t="s">
        <v>35</v>
      </c>
      <c r="E46" s="7">
        <v>43716</v>
      </c>
      <c r="F46" s="17">
        <v>78402</v>
      </c>
      <c r="G46" s="4">
        <v>54</v>
      </c>
      <c r="H46" s="16" t="s">
        <v>36</v>
      </c>
      <c r="I46" s="16" t="str">
        <f>_xlfn.TEXTJOIN(" ",TRUE, 'Raw_Employee_Data with Fomulas'!$B46,'Raw_Employee_Data with Fomulas'!$C46)</f>
        <v>Amanda Lopez</v>
      </c>
      <c r="J46" s="11" t="str">
        <f>_xlfn.XLOOKUP(D46,Lookup_Departments!A:A,Lookup_Departments!B:B)</f>
        <v>Sales</v>
      </c>
      <c r="K46" s="11">
        <f t="shared" ca="1" si="0"/>
        <v>6</v>
      </c>
      <c r="L46" t="str" cm="1">
        <f t="array" ref="L46">_xlfn.IFS(G46&lt;=49,"Needs Improvement",G46&lt;=69,"Developing",G46&lt;=84,"Achieving",G46&lt;=94,"Exceeding",G46&lt;=100,"Outstanding")</f>
        <v>Developing</v>
      </c>
      <c r="M46" s="25">
        <f>F46*_xlfn.XLOOKUP(L46,Lookup_Performance!$C$2:$C$6,Lookup_Performance!$D$2:$D$6,0)</f>
        <v>1568.04</v>
      </c>
    </row>
    <row r="47" spans="1:13" x14ac:dyDescent="0.35">
      <c r="A47" s="5" t="s">
        <v>87</v>
      </c>
      <c r="B47" s="5" t="s">
        <v>21</v>
      </c>
      <c r="C47" s="5" t="s">
        <v>54</v>
      </c>
      <c r="D47" s="14" t="s">
        <v>26</v>
      </c>
      <c r="E47" s="7">
        <v>42565</v>
      </c>
      <c r="F47" s="15">
        <v>105498</v>
      </c>
      <c r="G47" s="5">
        <v>76</v>
      </c>
      <c r="H47" s="14" t="s">
        <v>23</v>
      </c>
      <c r="I47" s="14" t="str">
        <f>_xlfn.TEXTJOIN(" ",TRUE, 'Raw_Employee_Data with Fomulas'!$B47,'Raw_Employee_Data with Fomulas'!$C47)</f>
        <v>Thomas Lopez</v>
      </c>
      <c r="J47" s="11" t="str">
        <f>_xlfn.XLOOKUP(D47,Lookup_Departments!A:A,Lookup_Departments!B:B)</f>
        <v>Operations</v>
      </c>
      <c r="K47" s="11">
        <f t="shared" ca="1" si="0"/>
        <v>9</v>
      </c>
      <c r="L47" t="str" cm="1">
        <f t="array" ref="L47">_xlfn.IFS(G47&lt;=49,"Needs Improvement",G47&lt;=69,"Developing",G47&lt;=84,"Achieving",G47&lt;=94,"Exceeding",G47&lt;=100,"Outstanding")</f>
        <v>Achieving</v>
      </c>
      <c r="M47" s="25">
        <f>F47*_xlfn.XLOOKUP(L47,Lookup_Performance!$C$2:$C$6,Lookup_Performance!$D$2:$D$6,0)</f>
        <v>5274.9000000000005</v>
      </c>
    </row>
    <row r="48" spans="1:13" x14ac:dyDescent="0.35">
      <c r="A48" s="4" t="s">
        <v>88</v>
      </c>
      <c r="B48" s="4" t="s">
        <v>77</v>
      </c>
      <c r="C48" s="4" t="s">
        <v>25</v>
      </c>
      <c r="D48" s="16" t="s">
        <v>13</v>
      </c>
      <c r="E48" s="7">
        <v>42470</v>
      </c>
      <c r="F48" s="17">
        <v>91749</v>
      </c>
      <c r="G48" s="4">
        <v>72</v>
      </c>
      <c r="H48" s="16" t="s">
        <v>84</v>
      </c>
      <c r="I48" s="16" t="str">
        <f>_xlfn.TEXTJOIN(" ",TRUE, 'Raw_Employee_Data with Fomulas'!$B48,'Raw_Employee_Data with Fomulas'!$C48)</f>
        <v>Melissa Johnson</v>
      </c>
      <c r="J48" s="11" t="str">
        <f>_xlfn.XLOOKUP(D48,Lookup_Departments!A:A,Lookup_Departments!B:B)</f>
        <v>Marketing</v>
      </c>
      <c r="K48" s="11">
        <f t="shared" ca="1" si="0"/>
        <v>10</v>
      </c>
      <c r="L48" t="str" cm="1">
        <f t="array" ref="L48">_xlfn.IFS(G48&lt;=49,"Needs Improvement",G48&lt;=69,"Developing",G48&lt;=84,"Achieving",G48&lt;=94,"Exceeding",G48&lt;=100,"Outstanding")</f>
        <v>Achieving</v>
      </c>
      <c r="M48" s="25">
        <f>F48*_xlfn.XLOOKUP(L48,Lookup_Performance!$C$2:$C$6,Lookup_Performance!$D$2:$D$6,0)</f>
        <v>4587.45</v>
      </c>
    </row>
    <row r="49" spans="1:13" x14ac:dyDescent="0.35">
      <c r="A49" s="5" t="s">
        <v>89</v>
      </c>
      <c r="B49" s="5" t="s">
        <v>56</v>
      </c>
      <c r="C49" s="5" t="s">
        <v>25</v>
      </c>
      <c r="D49" s="14" t="s">
        <v>26</v>
      </c>
      <c r="E49" s="7">
        <v>43656</v>
      </c>
      <c r="F49" s="15">
        <v>99935</v>
      </c>
      <c r="G49" s="5">
        <v>84</v>
      </c>
      <c r="H49" s="14" t="s">
        <v>23</v>
      </c>
      <c r="I49" s="14" t="str">
        <f>_xlfn.TEXTJOIN(" ",TRUE, 'Raw_Employee_Data with Fomulas'!$B49,'Raw_Employee_Data with Fomulas'!$C49)</f>
        <v>Amanda Johnson</v>
      </c>
      <c r="J49" s="11" t="str">
        <f>_xlfn.XLOOKUP(D49,Lookup_Departments!A:A,Lookup_Departments!B:B)</f>
        <v>Operations</v>
      </c>
      <c r="K49" s="11">
        <f t="shared" ca="1" si="0"/>
        <v>6</v>
      </c>
      <c r="L49" t="str" cm="1">
        <f t="array" ref="L49">_xlfn.IFS(G49&lt;=49,"Needs Improvement",G49&lt;=69,"Developing",G49&lt;=84,"Achieving",G49&lt;=94,"Exceeding",G49&lt;=100,"Outstanding")</f>
        <v>Achieving</v>
      </c>
      <c r="M49" s="25">
        <f>F49*_xlfn.XLOOKUP(L49,Lookup_Performance!$C$2:$C$6,Lookup_Performance!$D$2:$D$6,0)</f>
        <v>4996.75</v>
      </c>
    </row>
    <row r="50" spans="1:13" x14ac:dyDescent="0.35">
      <c r="A50" s="4" t="s">
        <v>90</v>
      </c>
      <c r="B50" s="4" t="s">
        <v>17</v>
      </c>
      <c r="C50" s="4" t="s">
        <v>49</v>
      </c>
      <c r="D50" s="16" t="s">
        <v>9</v>
      </c>
      <c r="E50" s="7">
        <v>44437</v>
      </c>
      <c r="F50" s="17">
        <v>83531</v>
      </c>
      <c r="G50" s="4">
        <v>30</v>
      </c>
      <c r="H50" s="16" t="s">
        <v>36</v>
      </c>
      <c r="I50" s="16" t="str">
        <f>_xlfn.TEXTJOIN(" ",TRUE, 'Raw_Employee_Data with Fomulas'!$B50,'Raw_Employee_Data with Fomulas'!$C50)</f>
        <v>John Davis</v>
      </c>
      <c r="J50" s="11" t="str">
        <f>_xlfn.XLOOKUP(D50,Lookup_Departments!A:A,Lookup_Departments!B:B)</f>
        <v>Information Technology</v>
      </c>
      <c r="K50" s="11">
        <f t="shared" ca="1" si="0"/>
        <v>4</v>
      </c>
      <c r="L50" t="str" cm="1">
        <f t="array" ref="L50">_xlfn.IFS(G50&lt;=49,"Needs Improvement",G50&lt;=69,"Developing",G50&lt;=84,"Achieving",G50&lt;=94,"Exceeding",G50&lt;=100,"Outstanding")</f>
        <v>Needs Improvement</v>
      </c>
      <c r="M50" s="25">
        <f>F50*_xlfn.XLOOKUP(L50,Lookup_Performance!$C$2:$C$6,Lookup_Performance!$D$2:$D$6,0)</f>
        <v>0</v>
      </c>
    </row>
    <row r="51" spans="1:13" x14ac:dyDescent="0.35">
      <c r="A51" s="5" t="s">
        <v>91</v>
      </c>
      <c r="B51" s="5" t="s">
        <v>51</v>
      </c>
      <c r="C51" s="5" t="s">
        <v>25</v>
      </c>
      <c r="D51" s="14" t="s">
        <v>13</v>
      </c>
      <c r="E51" s="7">
        <v>42761</v>
      </c>
      <c r="F51" s="15">
        <v>75023</v>
      </c>
      <c r="G51" s="5">
        <v>68</v>
      </c>
      <c r="H51" s="14" t="s">
        <v>36</v>
      </c>
      <c r="I51" s="14" t="str">
        <f>_xlfn.TEXTJOIN(" ",TRUE, 'Raw_Employee_Data with Fomulas'!$B51,'Raw_Employee_Data with Fomulas'!$C51)</f>
        <v>James Johnson</v>
      </c>
      <c r="J51" s="11" t="str">
        <f>_xlfn.XLOOKUP(D51,Lookup_Departments!A:A,Lookup_Departments!B:B)</f>
        <v>Marketing</v>
      </c>
      <c r="K51" s="11">
        <f t="shared" ca="1" si="0"/>
        <v>9</v>
      </c>
      <c r="L51" t="str" cm="1">
        <f t="array" ref="L51">_xlfn.IFS(G51&lt;=49,"Needs Improvement",G51&lt;=69,"Developing",G51&lt;=84,"Achieving",G51&lt;=94,"Exceeding",G51&lt;=100,"Outstanding")</f>
        <v>Developing</v>
      </c>
      <c r="M51" s="25">
        <f>F51*_xlfn.XLOOKUP(L51,Lookup_Performance!$C$2:$C$6,Lookup_Performance!$D$2:$D$6,0)</f>
        <v>1500.46</v>
      </c>
    </row>
    <row r="52" spans="1:13" x14ac:dyDescent="0.35">
      <c r="A52" s="4" t="s">
        <v>92</v>
      </c>
      <c r="B52" s="4" t="s">
        <v>41</v>
      </c>
      <c r="C52" s="4" t="s">
        <v>49</v>
      </c>
      <c r="D52" s="16" t="s">
        <v>72</v>
      </c>
      <c r="E52" s="7">
        <v>43981</v>
      </c>
      <c r="F52" s="17">
        <v>93290</v>
      </c>
      <c r="G52" s="4">
        <v>53</v>
      </c>
      <c r="H52" s="16" t="s">
        <v>84</v>
      </c>
      <c r="I52" s="16" t="str">
        <f>_xlfn.TEXTJOIN(" ",TRUE, 'Raw_Employee_Data with Fomulas'!$B52,'Raw_Employee_Data with Fomulas'!$C52)</f>
        <v>Jane Davis</v>
      </c>
      <c r="J52" s="11" t="str">
        <f>_xlfn.XLOOKUP(D52,Lookup_Departments!A:A,Lookup_Departments!B:B)</f>
        <v>Human Resources</v>
      </c>
      <c r="K52" s="11">
        <f t="shared" ca="1" si="0"/>
        <v>6</v>
      </c>
      <c r="L52" t="str" cm="1">
        <f t="array" ref="L52">_xlfn.IFS(G52&lt;=49,"Needs Improvement",G52&lt;=69,"Developing",G52&lt;=84,"Achieving",G52&lt;=94,"Exceeding",G52&lt;=100,"Outstanding")</f>
        <v>Developing</v>
      </c>
      <c r="M52" s="25">
        <f>F52*_xlfn.XLOOKUP(L52,Lookup_Performance!$C$2:$C$6,Lookup_Performance!$D$2:$D$6,0)</f>
        <v>1865.8</v>
      </c>
    </row>
    <row r="53" spans="1:13" x14ac:dyDescent="0.35">
      <c r="A53" s="5" t="s">
        <v>93</v>
      </c>
      <c r="B53" s="5" t="s">
        <v>11</v>
      </c>
      <c r="C53" s="5" t="s">
        <v>49</v>
      </c>
      <c r="D53" s="14" t="s">
        <v>26</v>
      </c>
      <c r="E53" s="7">
        <v>44612</v>
      </c>
      <c r="F53" s="15">
        <v>115527</v>
      </c>
      <c r="G53" s="5">
        <v>63</v>
      </c>
      <c r="H53" s="14" t="s">
        <v>36</v>
      </c>
      <c r="I53" s="14" t="str">
        <f>_xlfn.TEXTJOIN(" ",TRUE, 'Raw_Employee_Data with Fomulas'!$B53,'Raw_Employee_Data with Fomulas'!$C53)</f>
        <v>Richard Davis</v>
      </c>
      <c r="J53" s="11" t="str">
        <f>_xlfn.XLOOKUP(D53,Lookup_Departments!A:A,Lookup_Departments!B:B)</f>
        <v>Operations</v>
      </c>
      <c r="K53" s="11">
        <f t="shared" ca="1" si="0"/>
        <v>4</v>
      </c>
      <c r="L53" t="str" cm="1">
        <f t="array" ref="L53">_xlfn.IFS(G53&lt;=49,"Needs Improvement",G53&lt;=69,"Developing",G53&lt;=84,"Achieving",G53&lt;=94,"Exceeding",G53&lt;=100,"Outstanding")</f>
        <v>Developing</v>
      </c>
      <c r="M53" s="25">
        <f>F53*_xlfn.XLOOKUP(L53,Lookup_Performance!$C$2:$C$6,Lookup_Performance!$D$2:$D$6,0)</f>
        <v>2310.54</v>
      </c>
    </row>
    <row r="54" spans="1:13" x14ac:dyDescent="0.35">
      <c r="A54" s="4" t="s">
        <v>94</v>
      </c>
      <c r="B54" s="4" t="s">
        <v>21</v>
      </c>
      <c r="C54" s="4" t="s">
        <v>32</v>
      </c>
      <c r="D54" s="16" t="s">
        <v>19</v>
      </c>
      <c r="E54" s="7">
        <v>42628</v>
      </c>
      <c r="F54" s="17">
        <v>55920</v>
      </c>
      <c r="G54" s="4">
        <v>84</v>
      </c>
      <c r="H54" s="16" t="s">
        <v>36</v>
      </c>
      <c r="I54" s="16" t="str">
        <f>_xlfn.TEXTJOIN(" ",TRUE, 'Raw_Employee_Data with Fomulas'!$B54,'Raw_Employee_Data with Fomulas'!$C54)</f>
        <v>Thomas Rodriguez</v>
      </c>
      <c r="J54" s="11" t="str">
        <f>_xlfn.XLOOKUP(D54,Lookup_Departments!A:A,Lookup_Departments!B:B)</f>
        <v>Finance</v>
      </c>
      <c r="K54" s="11">
        <f t="shared" ca="1" si="0"/>
        <v>9</v>
      </c>
      <c r="L54" t="str" cm="1">
        <f t="array" ref="L54">_xlfn.IFS(G54&lt;=49,"Needs Improvement",G54&lt;=69,"Developing",G54&lt;=84,"Achieving",G54&lt;=94,"Exceeding",G54&lt;=100,"Outstanding")</f>
        <v>Achieving</v>
      </c>
      <c r="M54" s="25">
        <f>F54*_xlfn.XLOOKUP(L54,Lookup_Performance!$C$2:$C$6,Lookup_Performance!$D$2:$D$6,0)</f>
        <v>2796</v>
      </c>
    </row>
    <row r="55" spans="1:13" x14ac:dyDescent="0.35">
      <c r="A55" s="5" t="s">
        <v>95</v>
      </c>
      <c r="B55" s="5" t="s">
        <v>7</v>
      </c>
      <c r="C55" s="5" t="s">
        <v>25</v>
      </c>
      <c r="D55" s="14" t="s">
        <v>35</v>
      </c>
      <c r="E55" s="7">
        <v>43656</v>
      </c>
      <c r="F55" s="15">
        <v>80189</v>
      </c>
      <c r="G55" s="5">
        <v>30</v>
      </c>
      <c r="H55" s="14" t="s">
        <v>36</v>
      </c>
      <c r="I55" s="14" t="str">
        <f>_xlfn.TEXTJOIN(" ",TRUE, 'Raw_Employee_Data with Fomulas'!$B55,'Raw_Employee_Data with Fomulas'!$C55)</f>
        <v>Emily Johnson</v>
      </c>
      <c r="J55" s="11" t="str">
        <f>_xlfn.XLOOKUP(D55,Lookup_Departments!A:A,Lookup_Departments!B:B)</f>
        <v>Sales</v>
      </c>
      <c r="K55" s="11">
        <f t="shared" ca="1" si="0"/>
        <v>6</v>
      </c>
      <c r="L55" t="str" cm="1">
        <f t="array" ref="L55">_xlfn.IFS(G55&lt;=49,"Needs Improvement",G55&lt;=69,"Developing",G55&lt;=84,"Achieving",G55&lt;=94,"Exceeding",G55&lt;=100,"Outstanding")</f>
        <v>Needs Improvement</v>
      </c>
      <c r="M55" s="25">
        <f>F55*_xlfn.XLOOKUP(L55,Lookup_Performance!$C$2:$C$6,Lookup_Performance!$D$2:$D$6,0)</f>
        <v>0</v>
      </c>
    </row>
    <row r="56" spans="1:13" x14ac:dyDescent="0.35">
      <c r="A56" s="4" t="s">
        <v>96</v>
      </c>
      <c r="B56" s="4" t="s">
        <v>7</v>
      </c>
      <c r="C56" s="4" t="s">
        <v>97</v>
      </c>
      <c r="D56" s="16" t="s">
        <v>72</v>
      </c>
      <c r="E56" s="7">
        <v>43464</v>
      </c>
      <c r="F56" s="17">
        <v>118947</v>
      </c>
      <c r="G56" s="4">
        <v>96</v>
      </c>
      <c r="H56" s="16" t="s">
        <v>36</v>
      </c>
      <c r="I56" s="16" t="str">
        <f>_xlfn.TEXTJOIN(" ",TRUE, 'Raw_Employee_Data with Fomulas'!$B56,'Raw_Employee_Data with Fomulas'!$C56)</f>
        <v>Emily Garcia</v>
      </c>
      <c r="J56" s="11" t="str">
        <f>_xlfn.XLOOKUP(D56,Lookup_Departments!A:A,Lookup_Departments!B:B)</f>
        <v>Human Resources</v>
      </c>
      <c r="K56" s="11">
        <f t="shared" ca="1" si="0"/>
        <v>7</v>
      </c>
      <c r="L56" t="str" cm="1">
        <f t="array" ref="L56">_xlfn.IFS(G56&lt;=49,"Needs Improvement",G56&lt;=69,"Developing",G56&lt;=84,"Achieving",G56&lt;=94,"Exceeding",G56&lt;=100,"Outstanding")</f>
        <v>Outstanding</v>
      </c>
      <c r="M56" s="25">
        <f>F56*_xlfn.XLOOKUP(L56,Lookup_Performance!$C$2:$C$6,Lookup_Performance!$D$2:$D$6,0)</f>
        <v>14273.64</v>
      </c>
    </row>
    <row r="57" spans="1:13" x14ac:dyDescent="0.35">
      <c r="A57" s="5" t="s">
        <v>98</v>
      </c>
      <c r="B57" s="5" t="s">
        <v>41</v>
      </c>
      <c r="C57" s="5" t="s">
        <v>99</v>
      </c>
      <c r="D57" s="14" t="s">
        <v>9</v>
      </c>
      <c r="E57" s="7">
        <v>44189</v>
      </c>
      <c r="F57" s="15">
        <v>82713.429999999993</v>
      </c>
      <c r="G57" s="5">
        <v>54</v>
      </c>
      <c r="H57" s="14" t="s">
        <v>36</v>
      </c>
      <c r="I57" s="14" t="str">
        <f>_xlfn.TEXTJOIN(" ",TRUE, 'Raw_Employee_Data with Fomulas'!$B57,'Raw_Employee_Data with Fomulas'!$C57)</f>
        <v>Jane Anderson</v>
      </c>
      <c r="J57" s="11" t="str">
        <f>_xlfn.XLOOKUP(D57,Lookup_Departments!A:A,Lookup_Departments!B:B)</f>
        <v>Information Technology</v>
      </c>
      <c r="K57" s="11">
        <f t="shared" ca="1" si="0"/>
        <v>5</v>
      </c>
      <c r="L57" t="str" cm="1">
        <f t="array" ref="L57">_xlfn.IFS(G57&lt;=49,"Needs Improvement",G57&lt;=69,"Developing",G57&lt;=84,"Achieving",G57&lt;=94,"Exceeding",G57&lt;=100,"Outstanding")</f>
        <v>Developing</v>
      </c>
      <c r="M57" s="25">
        <f>F57*_xlfn.XLOOKUP(L57,Lookup_Performance!$C$2:$C$6,Lookup_Performance!$D$2:$D$6,0)</f>
        <v>1654.2685999999999</v>
      </c>
    </row>
    <row r="58" spans="1:13" x14ac:dyDescent="0.35">
      <c r="A58" s="4" t="s">
        <v>100</v>
      </c>
      <c r="B58" s="4" t="s">
        <v>21</v>
      </c>
      <c r="C58" s="4" t="s">
        <v>97</v>
      </c>
      <c r="D58" s="16" t="s">
        <v>26</v>
      </c>
      <c r="E58" s="7">
        <v>45053</v>
      </c>
      <c r="F58" s="17">
        <v>82713.429999999993</v>
      </c>
      <c r="G58" s="4">
        <v>75</v>
      </c>
      <c r="H58" s="16" t="s">
        <v>36</v>
      </c>
      <c r="I58" s="16" t="str">
        <f>_xlfn.TEXTJOIN(" ",TRUE, 'Raw_Employee_Data with Fomulas'!$B58,'Raw_Employee_Data with Fomulas'!$C58)</f>
        <v>Thomas Garcia</v>
      </c>
      <c r="J58" s="11" t="str">
        <f>_xlfn.XLOOKUP(D58,Lookup_Departments!A:A,Lookup_Departments!B:B)</f>
        <v>Operations</v>
      </c>
      <c r="K58" s="11">
        <f t="shared" ca="1" si="0"/>
        <v>3</v>
      </c>
      <c r="L58" t="str" cm="1">
        <f t="array" ref="L58">_xlfn.IFS(G58&lt;=49,"Needs Improvement",G58&lt;=69,"Developing",G58&lt;=84,"Achieving",G58&lt;=94,"Exceeding",G58&lt;=100,"Outstanding")</f>
        <v>Achieving</v>
      </c>
      <c r="M58" s="25">
        <f>F58*_xlfn.XLOOKUP(L58,Lookup_Performance!$C$2:$C$6,Lookup_Performance!$D$2:$D$6,0)</f>
        <v>4135.6714999999995</v>
      </c>
    </row>
    <row r="59" spans="1:13" x14ac:dyDescent="0.35">
      <c r="A59" s="5" t="s">
        <v>101</v>
      </c>
      <c r="B59" s="5" t="s">
        <v>82</v>
      </c>
      <c r="C59" s="5" t="s">
        <v>18</v>
      </c>
      <c r="D59" s="14" t="s">
        <v>72</v>
      </c>
      <c r="E59" s="7">
        <v>44148</v>
      </c>
      <c r="F59" s="15">
        <v>91655</v>
      </c>
      <c r="G59" s="5">
        <v>95</v>
      </c>
      <c r="H59" s="14" t="s">
        <v>23</v>
      </c>
      <c r="I59" s="14" t="str">
        <f>_xlfn.TEXTJOIN(" ",TRUE, 'Raw_Employee_Data with Fomulas'!$B59,'Raw_Employee_Data with Fomulas'!$C59)</f>
        <v>David Martinez</v>
      </c>
      <c r="J59" s="11" t="str">
        <f>_xlfn.XLOOKUP(D59,Lookup_Departments!A:A,Lookup_Departments!B:B)</f>
        <v>Human Resources</v>
      </c>
      <c r="K59" s="11">
        <f t="shared" ca="1" si="0"/>
        <v>5</v>
      </c>
      <c r="L59" t="str" cm="1">
        <f t="array" ref="L59">_xlfn.IFS(G59&lt;=49,"Needs Improvement",G59&lt;=69,"Developing",G59&lt;=84,"Achieving",G59&lt;=94,"Exceeding",G59&lt;=100,"Outstanding")</f>
        <v>Outstanding</v>
      </c>
      <c r="M59" s="25">
        <f>F59*_xlfn.XLOOKUP(L59,Lookup_Performance!$C$2:$C$6,Lookup_Performance!$D$2:$D$6,0)</f>
        <v>10998.6</v>
      </c>
    </row>
    <row r="60" spans="1:13" x14ac:dyDescent="0.35">
      <c r="A60" s="4" t="s">
        <v>102</v>
      </c>
      <c r="B60" s="4" t="s">
        <v>7</v>
      </c>
      <c r="C60" s="4" t="s">
        <v>8</v>
      </c>
      <c r="D60" s="16" t="s">
        <v>9</v>
      </c>
      <c r="E60" s="7">
        <v>43283</v>
      </c>
      <c r="F60" s="17">
        <v>49435</v>
      </c>
      <c r="G60" s="4">
        <v>68</v>
      </c>
      <c r="H60" s="16" t="s">
        <v>36</v>
      </c>
      <c r="I60" s="16" t="str">
        <f>_xlfn.TEXTJOIN(" ",TRUE, 'Raw_Employee_Data with Fomulas'!$B60,'Raw_Employee_Data with Fomulas'!$C60)</f>
        <v>Emily Brown</v>
      </c>
      <c r="J60" s="11" t="str">
        <f>_xlfn.XLOOKUP(D60,Lookup_Departments!A:A,Lookup_Departments!B:B)</f>
        <v>Information Technology</v>
      </c>
      <c r="K60" s="11">
        <f t="shared" ca="1" si="0"/>
        <v>8</v>
      </c>
      <c r="L60" t="str" cm="1">
        <f t="array" ref="L60">_xlfn.IFS(G60&lt;=49,"Needs Improvement",G60&lt;=69,"Developing",G60&lt;=84,"Achieving",G60&lt;=94,"Exceeding",G60&lt;=100,"Outstanding")</f>
        <v>Developing</v>
      </c>
      <c r="M60" s="25">
        <f>F60*_xlfn.XLOOKUP(L60,Lookup_Performance!$C$2:$C$6,Lookup_Performance!$D$2:$D$6,0)</f>
        <v>988.7</v>
      </c>
    </row>
    <row r="61" spans="1:13" x14ac:dyDescent="0.35">
      <c r="A61" s="5" t="s">
        <v>103</v>
      </c>
      <c r="B61" s="5" t="s">
        <v>7</v>
      </c>
      <c r="C61" s="5" t="s">
        <v>28</v>
      </c>
      <c r="D61" s="14" t="s">
        <v>35</v>
      </c>
      <c r="E61" s="7">
        <v>45255</v>
      </c>
      <c r="F61" s="15">
        <v>110381</v>
      </c>
      <c r="G61" s="5">
        <v>93</v>
      </c>
      <c r="H61" s="14" t="s">
        <v>36</v>
      </c>
      <c r="I61" s="14" t="str">
        <f>_xlfn.TEXTJOIN(" ",TRUE, 'Raw_Employee_Data with Fomulas'!$B61,'Raw_Employee_Data with Fomulas'!$C61)</f>
        <v>Emily Wilson</v>
      </c>
      <c r="J61" s="11" t="str">
        <f>_xlfn.XLOOKUP(D61,Lookup_Departments!A:A,Lookup_Departments!B:B)</f>
        <v>Sales</v>
      </c>
      <c r="K61" s="11">
        <f t="shared" ca="1" si="0"/>
        <v>2</v>
      </c>
      <c r="L61" t="str" cm="1">
        <f t="array" ref="L61">_xlfn.IFS(G61&lt;=49,"Needs Improvement",G61&lt;=69,"Developing",G61&lt;=84,"Achieving",G61&lt;=94,"Exceeding",G61&lt;=100,"Outstanding")</f>
        <v>Exceeding</v>
      </c>
      <c r="M61" s="25">
        <f>F61*_xlfn.XLOOKUP(L61,Lookup_Performance!$C$2:$C$6,Lookup_Performance!$D$2:$D$6,0)</f>
        <v>8830.48</v>
      </c>
    </row>
    <row r="62" spans="1:13" x14ac:dyDescent="0.35">
      <c r="A62" s="4" t="s">
        <v>104</v>
      </c>
      <c r="B62" s="4" t="s">
        <v>34</v>
      </c>
      <c r="C62" s="4" t="s">
        <v>99</v>
      </c>
      <c r="D62" s="16" t="s">
        <v>72</v>
      </c>
      <c r="E62" s="7">
        <v>45217</v>
      </c>
      <c r="F62" s="17">
        <v>114748</v>
      </c>
      <c r="G62" s="4">
        <v>33</v>
      </c>
      <c r="H62" s="16" t="s">
        <v>36</v>
      </c>
      <c r="I62" s="16" t="str">
        <f>_xlfn.TEXTJOIN(" ",TRUE, 'Raw_Employee_Data with Fomulas'!$B62,'Raw_Employee_Data with Fomulas'!$C62)</f>
        <v>Michael Anderson</v>
      </c>
      <c r="J62" s="11" t="str">
        <f>_xlfn.XLOOKUP(D62,Lookup_Departments!A:A,Lookup_Departments!B:B)</f>
        <v>Human Resources</v>
      </c>
      <c r="K62" s="11">
        <f t="shared" ca="1" si="0"/>
        <v>2</v>
      </c>
      <c r="L62" t="str" cm="1">
        <f t="array" ref="L62">_xlfn.IFS(G62&lt;=49,"Needs Improvement",G62&lt;=69,"Developing",G62&lt;=84,"Achieving",G62&lt;=94,"Exceeding",G62&lt;=100,"Outstanding")</f>
        <v>Needs Improvement</v>
      </c>
      <c r="M62" s="25">
        <f>F62*_xlfn.XLOOKUP(L62,Lookup_Performance!$C$2:$C$6,Lookup_Performance!$D$2:$D$6,0)</f>
        <v>0</v>
      </c>
    </row>
    <row r="63" spans="1:13" x14ac:dyDescent="0.35">
      <c r="A63" s="5" t="s">
        <v>105</v>
      </c>
      <c r="B63" s="5" t="s">
        <v>45</v>
      </c>
      <c r="C63" s="5" t="s">
        <v>25</v>
      </c>
      <c r="D63" s="14" t="s">
        <v>26</v>
      </c>
      <c r="E63" s="7">
        <v>43960</v>
      </c>
      <c r="F63" s="15">
        <v>63302</v>
      </c>
      <c r="G63" s="5">
        <v>91</v>
      </c>
      <c r="H63" s="14" t="s">
        <v>36</v>
      </c>
      <c r="I63" s="14" t="str">
        <f>_xlfn.TEXTJOIN(" ",TRUE, 'Raw_Employee_Data with Fomulas'!$B63,'Raw_Employee_Data with Fomulas'!$C63)</f>
        <v>Robert Johnson</v>
      </c>
      <c r="J63" s="11" t="str">
        <f>_xlfn.XLOOKUP(D63,Lookup_Departments!A:A,Lookup_Departments!B:B)</f>
        <v>Operations</v>
      </c>
      <c r="K63" s="11">
        <f t="shared" ca="1" si="0"/>
        <v>6</v>
      </c>
      <c r="L63" t="str" cm="1">
        <f t="array" ref="L63">_xlfn.IFS(G63&lt;=49,"Needs Improvement",G63&lt;=69,"Developing",G63&lt;=84,"Achieving",G63&lt;=94,"Exceeding",G63&lt;=100,"Outstanding")</f>
        <v>Exceeding</v>
      </c>
      <c r="M63" s="25">
        <f>F63*_xlfn.XLOOKUP(L63,Lookup_Performance!$C$2:$C$6,Lookup_Performance!$D$2:$D$6,0)</f>
        <v>5064.16</v>
      </c>
    </row>
    <row r="64" spans="1:13" x14ac:dyDescent="0.35">
      <c r="A64" s="4" t="s">
        <v>106</v>
      </c>
      <c r="B64" s="4" t="s">
        <v>45</v>
      </c>
      <c r="C64" s="4" t="s">
        <v>38</v>
      </c>
      <c r="D64" s="16" t="s">
        <v>9</v>
      </c>
      <c r="E64" s="7">
        <v>42889</v>
      </c>
      <c r="F64" s="17">
        <v>75519</v>
      </c>
      <c r="G64" s="4">
        <v>64</v>
      </c>
      <c r="H64" s="16" t="s">
        <v>36</v>
      </c>
      <c r="I64" s="16" t="str">
        <f>_xlfn.TEXTJOIN(" ",TRUE, 'Raw_Employee_Data with Fomulas'!$B64,'Raw_Employee_Data with Fomulas'!$C64)</f>
        <v>Robert Miller</v>
      </c>
      <c r="J64" s="11" t="str">
        <f>_xlfn.XLOOKUP(D64,Lookup_Departments!A:A,Lookup_Departments!B:B)</f>
        <v>Information Technology</v>
      </c>
      <c r="K64" s="11">
        <f t="shared" ca="1" si="0"/>
        <v>9</v>
      </c>
      <c r="L64" t="str" cm="1">
        <f t="array" ref="L64">_xlfn.IFS(G64&lt;=49,"Needs Improvement",G64&lt;=69,"Developing",G64&lt;=84,"Achieving",G64&lt;=94,"Exceeding",G64&lt;=100,"Outstanding")</f>
        <v>Developing</v>
      </c>
      <c r="M64" s="25">
        <f>F64*_xlfn.XLOOKUP(L64,Lookup_Performance!$C$2:$C$6,Lookup_Performance!$D$2:$D$6,0)</f>
        <v>1510.38</v>
      </c>
    </row>
    <row r="65" spans="1:13" x14ac:dyDescent="0.35">
      <c r="A65" s="5" t="s">
        <v>107</v>
      </c>
      <c r="B65" s="5" t="s">
        <v>41</v>
      </c>
      <c r="C65" s="5" t="s">
        <v>49</v>
      </c>
      <c r="D65" s="14" t="s">
        <v>19</v>
      </c>
      <c r="E65" s="7">
        <v>42122</v>
      </c>
      <c r="F65" s="15">
        <v>103891</v>
      </c>
      <c r="G65" s="5">
        <v>80</v>
      </c>
      <c r="H65" s="14" t="s">
        <v>23</v>
      </c>
      <c r="I65" s="14" t="str">
        <f>_xlfn.TEXTJOIN(" ",TRUE, 'Raw_Employee_Data with Fomulas'!$B65,'Raw_Employee_Data with Fomulas'!$C65)</f>
        <v>Jane Davis</v>
      </c>
      <c r="J65" s="11" t="str">
        <f>_xlfn.XLOOKUP(D65,Lookup_Departments!A:A,Lookup_Departments!B:B)</f>
        <v>Finance</v>
      </c>
      <c r="K65" s="11">
        <f t="shared" ca="1" si="0"/>
        <v>11</v>
      </c>
      <c r="L65" t="str" cm="1">
        <f t="array" ref="L65">_xlfn.IFS(G65&lt;=49,"Needs Improvement",G65&lt;=69,"Developing",G65&lt;=84,"Achieving",G65&lt;=94,"Exceeding",G65&lt;=100,"Outstanding")</f>
        <v>Achieving</v>
      </c>
      <c r="M65" s="25">
        <f>F65*_xlfn.XLOOKUP(L65,Lookup_Performance!$C$2:$C$6,Lookup_Performance!$D$2:$D$6,0)</f>
        <v>5194.55</v>
      </c>
    </row>
    <row r="66" spans="1:13" x14ac:dyDescent="0.35">
      <c r="A66" s="4" t="s">
        <v>108</v>
      </c>
      <c r="B66" s="4" t="s">
        <v>21</v>
      </c>
      <c r="C66" s="4" t="s">
        <v>49</v>
      </c>
      <c r="D66" s="16" t="s">
        <v>26</v>
      </c>
      <c r="E66" s="7">
        <v>42838</v>
      </c>
      <c r="F66" s="17">
        <v>82713.429999999993</v>
      </c>
      <c r="G66" s="4">
        <v>46</v>
      </c>
      <c r="H66" s="16" t="s">
        <v>36</v>
      </c>
      <c r="I66" s="16" t="str">
        <f>_xlfn.TEXTJOIN(" ",TRUE, 'Raw_Employee_Data with Fomulas'!$B66,'Raw_Employee_Data with Fomulas'!$C66)</f>
        <v>Thomas Davis</v>
      </c>
      <c r="J66" s="11" t="str">
        <f>_xlfn.XLOOKUP(D66,Lookup_Departments!A:A,Lookup_Departments!B:B)</f>
        <v>Operations</v>
      </c>
      <c r="K66" s="11">
        <f t="shared" ca="1" si="0"/>
        <v>9</v>
      </c>
      <c r="L66" t="str" cm="1">
        <f t="array" ref="L66">_xlfn.IFS(G66&lt;=49,"Needs Improvement",G66&lt;=69,"Developing",G66&lt;=84,"Achieving",G66&lt;=94,"Exceeding",G66&lt;=100,"Outstanding")</f>
        <v>Needs Improvement</v>
      </c>
      <c r="M66" s="25">
        <f>F66*_xlfn.XLOOKUP(L66,Lookup_Performance!$C$2:$C$6,Lookup_Performance!$D$2:$D$6,0)</f>
        <v>0</v>
      </c>
    </row>
    <row r="67" spans="1:13" x14ac:dyDescent="0.35">
      <c r="A67" s="5" t="s">
        <v>109</v>
      </c>
      <c r="B67" s="5" t="s">
        <v>21</v>
      </c>
      <c r="C67" s="5" t="s">
        <v>46</v>
      </c>
      <c r="D67" s="14" t="s">
        <v>13</v>
      </c>
      <c r="E67" s="7">
        <v>44827</v>
      </c>
      <c r="F67" s="15">
        <v>50936</v>
      </c>
      <c r="G67" s="5">
        <v>99</v>
      </c>
      <c r="H67" s="14" t="s">
        <v>36</v>
      </c>
      <c r="I67" s="14" t="str">
        <f>_xlfn.TEXTJOIN(" ",TRUE, 'Raw_Employee_Data with Fomulas'!$B67,'Raw_Employee_Data with Fomulas'!$C67)</f>
        <v>Thomas Jones</v>
      </c>
      <c r="J67" s="11" t="str">
        <f>_xlfn.XLOOKUP(D67,Lookup_Departments!A:A,Lookup_Departments!B:B)</f>
        <v>Marketing</v>
      </c>
      <c r="K67" s="11">
        <f t="shared" ref="K67:K130" ca="1" si="1">DATEDIF(E67,TODAY(),"Y")</f>
        <v>3</v>
      </c>
      <c r="L67" t="str" cm="1">
        <f t="array" ref="L67">_xlfn.IFS(G67&lt;=49,"Needs Improvement",G67&lt;=69,"Developing",G67&lt;=84,"Achieving",G67&lt;=94,"Exceeding",G67&lt;=100,"Outstanding")</f>
        <v>Outstanding</v>
      </c>
      <c r="M67" s="25">
        <f>F67*_xlfn.XLOOKUP(L67,Lookup_Performance!$C$2:$C$6,Lookup_Performance!$D$2:$D$6,0)</f>
        <v>6112.32</v>
      </c>
    </row>
    <row r="68" spans="1:13" x14ac:dyDescent="0.35">
      <c r="A68" s="4" t="s">
        <v>110</v>
      </c>
      <c r="B68" s="4" t="s">
        <v>34</v>
      </c>
      <c r="C68" s="4" t="s">
        <v>38</v>
      </c>
      <c r="D68" s="16" t="s">
        <v>35</v>
      </c>
      <c r="E68" s="7">
        <v>42685</v>
      </c>
      <c r="F68" s="17">
        <v>111240</v>
      </c>
      <c r="G68" s="4">
        <v>68</v>
      </c>
      <c r="H68" s="16" t="s">
        <v>84</v>
      </c>
      <c r="I68" s="16" t="str">
        <f>_xlfn.TEXTJOIN(" ",TRUE, 'Raw_Employee_Data with Fomulas'!$B68,'Raw_Employee_Data with Fomulas'!$C68)</f>
        <v>Michael Miller</v>
      </c>
      <c r="J68" s="11" t="str">
        <f>_xlfn.XLOOKUP(D68,Lookup_Departments!A:A,Lookup_Departments!B:B)</f>
        <v>Sales</v>
      </c>
      <c r="K68" s="11">
        <f t="shared" ca="1" si="1"/>
        <v>9</v>
      </c>
      <c r="L68" t="str" cm="1">
        <f t="array" ref="L68">_xlfn.IFS(G68&lt;=49,"Needs Improvement",G68&lt;=69,"Developing",G68&lt;=84,"Achieving",G68&lt;=94,"Exceeding",G68&lt;=100,"Outstanding")</f>
        <v>Developing</v>
      </c>
      <c r="M68" s="25">
        <f>F68*_xlfn.XLOOKUP(L68,Lookup_Performance!$C$2:$C$6,Lookup_Performance!$D$2:$D$6,0)</f>
        <v>2224.8000000000002</v>
      </c>
    </row>
    <row r="69" spans="1:13" x14ac:dyDescent="0.35">
      <c r="A69" s="5" t="s">
        <v>111</v>
      </c>
      <c r="B69" s="5" t="s">
        <v>11</v>
      </c>
      <c r="C69" s="5" t="s">
        <v>15</v>
      </c>
      <c r="D69" s="14" t="s">
        <v>72</v>
      </c>
      <c r="E69" s="7">
        <v>42818</v>
      </c>
      <c r="F69" s="15">
        <v>51567</v>
      </c>
      <c r="G69" s="5">
        <v>87</v>
      </c>
      <c r="H69" s="14" t="s">
        <v>36</v>
      </c>
      <c r="I69" s="14" t="str">
        <f>_xlfn.TEXTJOIN(" ",TRUE, 'Raw_Employee_Data with Fomulas'!$B69,'Raw_Employee_Data with Fomulas'!$C69)</f>
        <v>Richard Gonzalez</v>
      </c>
      <c r="J69" s="11" t="str">
        <f>_xlfn.XLOOKUP(D69,Lookup_Departments!A:A,Lookup_Departments!B:B)</f>
        <v>Human Resources</v>
      </c>
      <c r="K69" s="11">
        <f t="shared" ca="1" si="1"/>
        <v>9</v>
      </c>
      <c r="L69" t="str" cm="1">
        <f t="array" ref="L69">_xlfn.IFS(G69&lt;=49,"Needs Improvement",G69&lt;=69,"Developing",G69&lt;=84,"Achieving",G69&lt;=94,"Exceeding",G69&lt;=100,"Outstanding")</f>
        <v>Exceeding</v>
      </c>
      <c r="M69" s="25">
        <f>F69*_xlfn.XLOOKUP(L69,Lookup_Performance!$C$2:$C$6,Lookup_Performance!$D$2:$D$6,0)</f>
        <v>4125.3599999999997</v>
      </c>
    </row>
    <row r="70" spans="1:13" x14ac:dyDescent="0.35">
      <c r="A70" s="4" t="s">
        <v>112</v>
      </c>
      <c r="B70" s="4" t="s">
        <v>77</v>
      </c>
      <c r="C70" s="4" t="s">
        <v>42</v>
      </c>
      <c r="D70" s="16" t="s">
        <v>72</v>
      </c>
      <c r="E70" s="7">
        <v>43590</v>
      </c>
      <c r="F70" s="17">
        <v>82713.429999999993</v>
      </c>
      <c r="G70" s="4">
        <v>36</v>
      </c>
      <c r="H70" s="16" t="s">
        <v>36</v>
      </c>
      <c r="I70" s="16" t="str">
        <f>_xlfn.TEXTJOIN(" ",TRUE, 'Raw_Employee_Data with Fomulas'!$B70,'Raw_Employee_Data with Fomulas'!$C70)</f>
        <v>Melissa Williams</v>
      </c>
      <c r="J70" s="11" t="str">
        <f>_xlfn.XLOOKUP(D70,Lookup_Departments!A:A,Lookup_Departments!B:B)</f>
        <v>Human Resources</v>
      </c>
      <c r="K70" s="11">
        <f t="shared" ca="1" si="1"/>
        <v>7</v>
      </c>
      <c r="L70" t="str" cm="1">
        <f t="array" ref="L70">_xlfn.IFS(G70&lt;=49,"Needs Improvement",G70&lt;=69,"Developing",G70&lt;=84,"Achieving",G70&lt;=94,"Exceeding",G70&lt;=100,"Outstanding")</f>
        <v>Needs Improvement</v>
      </c>
      <c r="M70" s="25">
        <f>F70*_xlfn.XLOOKUP(L70,Lookup_Performance!$C$2:$C$6,Lookup_Performance!$D$2:$D$6,0)</f>
        <v>0</v>
      </c>
    </row>
    <row r="71" spans="1:13" x14ac:dyDescent="0.35">
      <c r="A71" s="5" t="s">
        <v>113</v>
      </c>
      <c r="B71" s="5" t="s">
        <v>45</v>
      </c>
      <c r="C71" s="5" t="s">
        <v>38</v>
      </c>
      <c r="D71" s="14" t="s">
        <v>72</v>
      </c>
      <c r="E71" s="7">
        <v>44402</v>
      </c>
      <c r="F71" s="15">
        <v>55270</v>
      </c>
      <c r="G71" s="5">
        <v>87</v>
      </c>
      <c r="H71" s="14" t="s">
        <v>36</v>
      </c>
      <c r="I71" s="14" t="str">
        <f>_xlfn.TEXTJOIN(" ",TRUE, 'Raw_Employee_Data with Fomulas'!$B71,'Raw_Employee_Data with Fomulas'!$C71)</f>
        <v>Robert Miller</v>
      </c>
      <c r="J71" s="11" t="str">
        <f>_xlfn.XLOOKUP(D71,Lookup_Departments!A:A,Lookup_Departments!B:B)</f>
        <v>Human Resources</v>
      </c>
      <c r="K71" s="11">
        <f t="shared" ca="1" si="1"/>
        <v>4</v>
      </c>
      <c r="L71" t="str" cm="1">
        <f t="array" ref="L71">_xlfn.IFS(G71&lt;=49,"Needs Improvement",G71&lt;=69,"Developing",G71&lt;=84,"Achieving",G71&lt;=94,"Exceeding",G71&lt;=100,"Outstanding")</f>
        <v>Exceeding</v>
      </c>
      <c r="M71" s="25">
        <f>F71*_xlfn.XLOOKUP(L71,Lookup_Performance!$C$2:$C$6,Lookup_Performance!$D$2:$D$6,0)</f>
        <v>4421.6000000000004</v>
      </c>
    </row>
    <row r="72" spans="1:13" x14ac:dyDescent="0.35">
      <c r="A72" s="4" t="s">
        <v>114</v>
      </c>
      <c r="B72" s="4" t="s">
        <v>115</v>
      </c>
      <c r="C72" s="4" t="s">
        <v>97</v>
      </c>
      <c r="D72" s="16" t="s">
        <v>35</v>
      </c>
      <c r="E72" s="7">
        <v>43008</v>
      </c>
      <c r="F72" s="17">
        <v>65235</v>
      </c>
      <c r="G72" s="4">
        <v>97</v>
      </c>
      <c r="H72" s="16" t="s">
        <v>23</v>
      </c>
      <c r="I72" s="16" t="str">
        <f>_xlfn.TEXTJOIN(" ",TRUE, 'Raw_Employee_Data with Fomulas'!$B72,'Raw_Employee_Data with Fomulas'!$C72)</f>
        <v>William Garcia</v>
      </c>
      <c r="J72" s="11" t="str">
        <f>_xlfn.XLOOKUP(D72,Lookup_Departments!A:A,Lookup_Departments!B:B)</f>
        <v>Sales</v>
      </c>
      <c r="K72" s="11">
        <f t="shared" ca="1" si="1"/>
        <v>8</v>
      </c>
      <c r="L72" t="str" cm="1">
        <f t="array" ref="L72">_xlfn.IFS(G72&lt;=49,"Needs Improvement",G72&lt;=69,"Developing",G72&lt;=84,"Achieving",G72&lt;=94,"Exceeding",G72&lt;=100,"Outstanding")</f>
        <v>Outstanding</v>
      </c>
      <c r="M72" s="25">
        <f>F72*_xlfn.XLOOKUP(L72,Lookup_Performance!$C$2:$C$6,Lookup_Performance!$D$2:$D$6,0)</f>
        <v>7828.2</v>
      </c>
    </row>
    <row r="73" spans="1:13" x14ac:dyDescent="0.35">
      <c r="A73" s="5" t="s">
        <v>116</v>
      </c>
      <c r="B73" s="5" t="s">
        <v>17</v>
      </c>
      <c r="C73" s="5" t="s">
        <v>15</v>
      </c>
      <c r="D73" s="14" t="s">
        <v>35</v>
      </c>
      <c r="E73" s="7">
        <v>42192</v>
      </c>
      <c r="F73" s="15">
        <v>82713.429999999993</v>
      </c>
      <c r="G73" s="5">
        <v>72</v>
      </c>
      <c r="H73" s="14" t="s">
        <v>23</v>
      </c>
      <c r="I73" s="14" t="str">
        <f>_xlfn.TEXTJOIN(" ",TRUE, 'Raw_Employee_Data with Fomulas'!$B73,'Raw_Employee_Data with Fomulas'!$C73)</f>
        <v>John Gonzalez</v>
      </c>
      <c r="J73" s="11" t="str">
        <f>_xlfn.XLOOKUP(D73,Lookup_Departments!A:A,Lookup_Departments!B:B)</f>
        <v>Sales</v>
      </c>
      <c r="K73" s="11">
        <f t="shared" ca="1" si="1"/>
        <v>11</v>
      </c>
      <c r="L73" t="str" cm="1">
        <f t="array" ref="L73">_xlfn.IFS(G73&lt;=49,"Needs Improvement",G73&lt;=69,"Developing",G73&lt;=84,"Achieving",G73&lt;=94,"Exceeding",G73&lt;=100,"Outstanding")</f>
        <v>Achieving</v>
      </c>
      <c r="M73" s="25">
        <f>F73*_xlfn.XLOOKUP(L73,Lookup_Performance!$C$2:$C$6,Lookup_Performance!$D$2:$D$6,0)</f>
        <v>4135.6714999999995</v>
      </c>
    </row>
    <row r="74" spans="1:13" x14ac:dyDescent="0.35">
      <c r="A74" s="4" t="s">
        <v>117</v>
      </c>
      <c r="B74" s="4" t="s">
        <v>51</v>
      </c>
      <c r="C74" s="4" t="s">
        <v>15</v>
      </c>
      <c r="D74" s="16" t="s">
        <v>35</v>
      </c>
      <c r="E74" s="7">
        <v>43138</v>
      </c>
      <c r="F74" s="17">
        <v>82713.429999999993</v>
      </c>
      <c r="G74" s="4">
        <v>65</v>
      </c>
      <c r="H74" s="16" t="s">
        <v>36</v>
      </c>
      <c r="I74" s="16" t="str">
        <f>_xlfn.TEXTJOIN(" ",TRUE, 'Raw_Employee_Data with Fomulas'!$B74,'Raw_Employee_Data with Fomulas'!$C74)</f>
        <v>James Gonzalez</v>
      </c>
      <c r="J74" s="11" t="str">
        <f>_xlfn.XLOOKUP(D74,Lookup_Departments!A:A,Lookup_Departments!B:B)</f>
        <v>Sales</v>
      </c>
      <c r="K74" s="11">
        <f t="shared" ca="1" si="1"/>
        <v>8</v>
      </c>
      <c r="L74" t="str" cm="1">
        <f t="array" ref="L74">_xlfn.IFS(G74&lt;=49,"Needs Improvement",G74&lt;=69,"Developing",G74&lt;=84,"Achieving",G74&lt;=94,"Exceeding",G74&lt;=100,"Outstanding")</f>
        <v>Developing</v>
      </c>
      <c r="M74" s="25">
        <f>F74*_xlfn.XLOOKUP(L74,Lookup_Performance!$C$2:$C$6,Lookup_Performance!$D$2:$D$6,0)</f>
        <v>1654.2685999999999</v>
      </c>
    </row>
    <row r="75" spans="1:13" x14ac:dyDescent="0.35">
      <c r="A75" s="5" t="s">
        <v>118</v>
      </c>
      <c r="B75" s="5" t="s">
        <v>41</v>
      </c>
      <c r="C75" s="5" t="s">
        <v>15</v>
      </c>
      <c r="D75" s="14" t="s">
        <v>35</v>
      </c>
      <c r="E75" s="7">
        <v>44819</v>
      </c>
      <c r="F75" s="15">
        <v>82713.429999999993</v>
      </c>
      <c r="G75" s="5">
        <v>67</v>
      </c>
      <c r="H75" s="14" t="s">
        <v>36</v>
      </c>
      <c r="I75" s="14" t="str">
        <f>_xlfn.TEXTJOIN(" ",TRUE, 'Raw_Employee_Data with Fomulas'!$B75,'Raw_Employee_Data with Fomulas'!$C75)</f>
        <v>Jane Gonzalez</v>
      </c>
      <c r="J75" s="11" t="str">
        <f>_xlfn.XLOOKUP(D75,Lookup_Departments!A:A,Lookup_Departments!B:B)</f>
        <v>Sales</v>
      </c>
      <c r="K75" s="11">
        <f t="shared" ca="1" si="1"/>
        <v>3</v>
      </c>
      <c r="L75" t="str" cm="1">
        <f t="array" ref="L75">_xlfn.IFS(G75&lt;=49,"Needs Improvement",G75&lt;=69,"Developing",G75&lt;=84,"Achieving",G75&lt;=94,"Exceeding",G75&lt;=100,"Outstanding")</f>
        <v>Developing</v>
      </c>
      <c r="M75" s="25">
        <f>F75*_xlfn.XLOOKUP(L75,Lookup_Performance!$C$2:$C$6,Lookup_Performance!$D$2:$D$6,0)</f>
        <v>1654.2685999999999</v>
      </c>
    </row>
    <row r="76" spans="1:13" x14ac:dyDescent="0.35">
      <c r="A76" s="4" t="s">
        <v>119</v>
      </c>
      <c r="B76" s="4" t="s">
        <v>82</v>
      </c>
      <c r="C76" s="4" t="s">
        <v>28</v>
      </c>
      <c r="D76" s="16" t="s">
        <v>26</v>
      </c>
      <c r="E76" s="7">
        <v>42889</v>
      </c>
      <c r="F76" s="17">
        <v>48823</v>
      </c>
      <c r="G76" s="4">
        <v>34</v>
      </c>
      <c r="H76" s="16" t="s">
        <v>23</v>
      </c>
      <c r="I76" s="16" t="str">
        <f>_xlfn.TEXTJOIN(" ",TRUE, 'Raw_Employee_Data with Fomulas'!$B76,'Raw_Employee_Data with Fomulas'!$C76)</f>
        <v>David Wilson</v>
      </c>
      <c r="J76" s="11" t="str">
        <f>_xlfn.XLOOKUP(D76,Lookup_Departments!A:A,Lookup_Departments!B:B)</f>
        <v>Operations</v>
      </c>
      <c r="K76" s="11">
        <f t="shared" ca="1" si="1"/>
        <v>9</v>
      </c>
      <c r="L76" t="str" cm="1">
        <f t="array" ref="L76">_xlfn.IFS(G76&lt;=49,"Needs Improvement",G76&lt;=69,"Developing",G76&lt;=84,"Achieving",G76&lt;=94,"Exceeding",G76&lt;=100,"Outstanding")</f>
        <v>Needs Improvement</v>
      </c>
      <c r="M76" s="25">
        <f>F76*_xlfn.XLOOKUP(L76,Lookup_Performance!$C$2:$C$6,Lookup_Performance!$D$2:$D$6,0)</f>
        <v>0</v>
      </c>
    </row>
    <row r="77" spans="1:13" x14ac:dyDescent="0.35">
      <c r="A77" s="5" t="s">
        <v>120</v>
      </c>
      <c r="B77" s="5" t="s">
        <v>41</v>
      </c>
      <c r="C77" s="5" t="s">
        <v>15</v>
      </c>
      <c r="D77" s="14" t="s">
        <v>19</v>
      </c>
      <c r="E77" s="7">
        <v>42044</v>
      </c>
      <c r="F77" s="15">
        <v>45196</v>
      </c>
      <c r="G77" s="5">
        <v>78</v>
      </c>
      <c r="H77" s="14" t="s">
        <v>36</v>
      </c>
      <c r="I77" s="14" t="str">
        <f>_xlfn.TEXTJOIN(" ",TRUE, 'Raw_Employee_Data with Fomulas'!$B77,'Raw_Employee_Data with Fomulas'!$C77)</f>
        <v>Jane Gonzalez</v>
      </c>
      <c r="J77" s="11" t="str">
        <f>_xlfn.XLOOKUP(D77,Lookup_Departments!A:A,Lookup_Departments!B:B)</f>
        <v>Finance</v>
      </c>
      <c r="K77" s="11">
        <f t="shared" ca="1" si="1"/>
        <v>11</v>
      </c>
      <c r="L77" t="str" cm="1">
        <f t="array" ref="L77">_xlfn.IFS(G77&lt;=49,"Needs Improvement",G77&lt;=69,"Developing",G77&lt;=84,"Achieving",G77&lt;=94,"Exceeding",G77&lt;=100,"Outstanding")</f>
        <v>Achieving</v>
      </c>
      <c r="M77" s="25">
        <f>F77*_xlfn.XLOOKUP(L77,Lookup_Performance!$C$2:$C$6,Lookup_Performance!$D$2:$D$6,0)</f>
        <v>2259.8000000000002</v>
      </c>
    </row>
    <row r="78" spans="1:13" x14ac:dyDescent="0.35">
      <c r="A78" s="4" t="s">
        <v>121</v>
      </c>
      <c r="B78" s="4" t="s">
        <v>41</v>
      </c>
      <c r="C78" s="4" t="s">
        <v>32</v>
      </c>
      <c r="D78" s="16" t="s">
        <v>9</v>
      </c>
      <c r="E78" s="7">
        <v>42654</v>
      </c>
      <c r="F78" s="17">
        <v>86246</v>
      </c>
      <c r="G78" s="4">
        <v>61</v>
      </c>
      <c r="H78" s="16" t="s">
        <v>23</v>
      </c>
      <c r="I78" s="16" t="str">
        <f>_xlfn.TEXTJOIN(" ",TRUE, 'Raw_Employee_Data with Fomulas'!$B78,'Raw_Employee_Data with Fomulas'!$C78)</f>
        <v>Jane Rodriguez</v>
      </c>
      <c r="J78" s="11" t="str">
        <f>_xlfn.XLOOKUP(D78,Lookup_Departments!A:A,Lookup_Departments!B:B)</f>
        <v>Information Technology</v>
      </c>
      <c r="K78" s="11">
        <f t="shared" ca="1" si="1"/>
        <v>9</v>
      </c>
      <c r="L78" t="str" cm="1">
        <f t="array" ref="L78">_xlfn.IFS(G78&lt;=49,"Needs Improvement",G78&lt;=69,"Developing",G78&lt;=84,"Achieving",G78&lt;=94,"Exceeding",G78&lt;=100,"Outstanding")</f>
        <v>Developing</v>
      </c>
      <c r="M78" s="25">
        <f>F78*_xlfn.XLOOKUP(L78,Lookup_Performance!$C$2:$C$6,Lookup_Performance!$D$2:$D$6,0)</f>
        <v>1724.92</v>
      </c>
    </row>
    <row r="79" spans="1:13" x14ac:dyDescent="0.35">
      <c r="A79" s="5" t="s">
        <v>122</v>
      </c>
      <c r="B79" s="5" t="s">
        <v>7</v>
      </c>
      <c r="C79" s="5" t="s">
        <v>38</v>
      </c>
      <c r="D79" s="14" t="s">
        <v>35</v>
      </c>
      <c r="E79" s="7">
        <v>43575</v>
      </c>
      <c r="F79" s="15">
        <v>70359</v>
      </c>
      <c r="G79" s="5">
        <v>74</v>
      </c>
      <c r="H79" s="14" t="s">
        <v>36</v>
      </c>
      <c r="I79" s="14" t="str">
        <f>_xlfn.TEXTJOIN(" ",TRUE, 'Raw_Employee_Data with Fomulas'!$B79,'Raw_Employee_Data with Fomulas'!$C79)</f>
        <v>Emily Miller</v>
      </c>
      <c r="J79" s="11" t="str">
        <f>_xlfn.XLOOKUP(D79,Lookup_Departments!A:A,Lookup_Departments!B:B)</f>
        <v>Sales</v>
      </c>
      <c r="K79" s="11">
        <f t="shared" ca="1" si="1"/>
        <v>7</v>
      </c>
      <c r="L79" t="str" cm="1">
        <f t="array" ref="L79">_xlfn.IFS(G79&lt;=49,"Needs Improvement",G79&lt;=69,"Developing",G79&lt;=84,"Achieving",G79&lt;=94,"Exceeding",G79&lt;=100,"Outstanding")</f>
        <v>Achieving</v>
      </c>
      <c r="M79" s="25">
        <f>F79*_xlfn.XLOOKUP(L79,Lookup_Performance!$C$2:$C$6,Lookup_Performance!$D$2:$D$6,0)</f>
        <v>3517.9500000000003</v>
      </c>
    </row>
    <row r="80" spans="1:13" x14ac:dyDescent="0.35">
      <c r="A80" s="4" t="s">
        <v>123</v>
      </c>
      <c r="B80" s="4" t="s">
        <v>70</v>
      </c>
      <c r="C80" s="4" t="s">
        <v>38</v>
      </c>
      <c r="D80" s="16" t="s">
        <v>13</v>
      </c>
      <c r="E80" s="7">
        <v>42785</v>
      </c>
      <c r="F80" s="17">
        <v>82713.429999999993</v>
      </c>
      <c r="G80" s="4">
        <v>94</v>
      </c>
      <c r="H80" s="16" t="s">
        <v>36</v>
      </c>
      <c r="I80" s="16" t="str">
        <f>_xlfn.TEXTJOIN(" ",TRUE, 'Raw_Employee_Data with Fomulas'!$B80,'Raw_Employee_Data with Fomulas'!$C80)</f>
        <v>Sarah Miller</v>
      </c>
      <c r="J80" s="11" t="str">
        <f>_xlfn.XLOOKUP(D80,Lookup_Departments!A:A,Lookup_Departments!B:B)</f>
        <v>Marketing</v>
      </c>
      <c r="K80" s="11">
        <f t="shared" ca="1" si="1"/>
        <v>9</v>
      </c>
      <c r="L80" t="str" cm="1">
        <f t="array" ref="L80">_xlfn.IFS(G80&lt;=49,"Needs Improvement",G80&lt;=69,"Developing",G80&lt;=84,"Achieving",G80&lt;=94,"Exceeding",G80&lt;=100,"Outstanding")</f>
        <v>Exceeding</v>
      </c>
      <c r="M80" s="25">
        <f>F80*_xlfn.XLOOKUP(L80,Lookup_Performance!$C$2:$C$6,Lookup_Performance!$D$2:$D$6,0)</f>
        <v>6617.0743999999995</v>
      </c>
    </row>
    <row r="81" spans="1:13" x14ac:dyDescent="0.35">
      <c r="A81" s="5" t="s">
        <v>124</v>
      </c>
      <c r="B81" s="5" t="s">
        <v>30</v>
      </c>
      <c r="C81" s="5" t="s">
        <v>97</v>
      </c>
      <c r="D81" s="14" t="s">
        <v>26</v>
      </c>
      <c r="E81" s="7">
        <v>44386</v>
      </c>
      <c r="F81" s="15">
        <v>86480</v>
      </c>
      <c r="G81" s="5">
        <v>68</v>
      </c>
      <c r="H81" s="14" t="s">
        <v>36</v>
      </c>
      <c r="I81" s="14" t="str">
        <f>_xlfn.TEXTJOIN(" ",TRUE, 'Raw_Employee_Data with Fomulas'!$B81,'Raw_Employee_Data with Fomulas'!$C81)</f>
        <v>Jessica Garcia</v>
      </c>
      <c r="J81" s="11" t="str">
        <f>_xlfn.XLOOKUP(D81,Lookup_Departments!A:A,Lookup_Departments!B:B)</f>
        <v>Operations</v>
      </c>
      <c r="K81" s="11">
        <f t="shared" ca="1" si="1"/>
        <v>4</v>
      </c>
      <c r="L81" t="str" cm="1">
        <f t="array" ref="L81">_xlfn.IFS(G81&lt;=49,"Needs Improvement",G81&lt;=69,"Developing",G81&lt;=84,"Achieving",G81&lt;=94,"Exceeding",G81&lt;=100,"Outstanding")</f>
        <v>Developing</v>
      </c>
      <c r="M81" s="25">
        <f>F81*_xlfn.XLOOKUP(L81,Lookup_Performance!$C$2:$C$6,Lookup_Performance!$D$2:$D$6,0)</f>
        <v>1729.6000000000001</v>
      </c>
    </row>
    <row r="82" spans="1:13" x14ac:dyDescent="0.35">
      <c r="A82" s="4" t="s">
        <v>125</v>
      </c>
      <c r="B82" s="4" t="s">
        <v>11</v>
      </c>
      <c r="C82" s="4" t="s">
        <v>22</v>
      </c>
      <c r="D82" s="16" t="s">
        <v>72</v>
      </c>
      <c r="E82" s="7">
        <v>43599</v>
      </c>
      <c r="F82" s="17">
        <v>47694</v>
      </c>
      <c r="G82" s="4">
        <v>75</v>
      </c>
      <c r="H82" s="16" t="s">
        <v>84</v>
      </c>
      <c r="I82" s="16" t="str">
        <f>_xlfn.TEXTJOIN(" ",TRUE, 'Raw_Employee_Data with Fomulas'!$B82,'Raw_Employee_Data with Fomulas'!$C82)</f>
        <v>Richard Smith</v>
      </c>
      <c r="J82" s="11" t="str">
        <f>_xlfn.XLOOKUP(D82,Lookup_Departments!A:A,Lookup_Departments!B:B)</f>
        <v>Human Resources</v>
      </c>
      <c r="K82" s="11">
        <f t="shared" ca="1" si="1"/>
        <v>7</v>
      </c>
      <c r="L82" t="str" cm="1">
        <f t="array" ref="L82">_xlfn.IFS(G82&lt;=49,"Needs Improvement",G82&lt;=69,"Developing",G82&lt;=84,"Achieving",G82&lt;=94,"Exceeding",G82&lt;=100,"Outstanding")</f>
        <v>Achieving</v>
      </c>
      <c r="M82" s="25">
        <f>F82*_xlfn.XLOOKUP(L82,Lookup_Performance!$C$2:$C$6,Lookup_Performance!$D$2:$D$6,0)</f>
        <v>2384.7000000000003</v>
      </c>
    </row>
    <row r="83" spans="1:13" x14ac:dyDescent="0.35">
      <c r="A83" s="5" t="s">
        <v>126</v>
      </c>
      <c r="B83" s="5" t="s">
        <v>77</v>
      </c>
      <c r="C83" s="5" t="s">
        <v>28</v>
      </c>
      <c r="D83" s="14" t="s">
        <v>9</v>
      </c>
      <c r="E83" s="7">
        <v>42221</v>
      </c>
      <c r="F83" s="15">
        <v>83724</v>
      </c>
      <c r="G83" s="5">
        <v>81</v>
      </c>
      <c r="H83" s="14" t="s">
        <v>36</v>
      </c>
      <c r="I83" s="14" t="str">
        <f>_xlfn.TEXTJOIN(" ",TRUE, 'Raw_Employee_Data with Fomulas'!$B83,'Raw_Employee_Data with Fomulas'!$C83)</f>
        <v>Melissa Wilson</v>
      </c>
      <c r="J83" s="11" t="str">
        <f>_xlfn.XLOOKUP(D83,Lookup_Departments!A:A,Lookup_Departments!B:B)</f>
        <v>Information Technology</v>
      </c>
      <c r="K83" s="11">
        <f t="shared" ca="1" si="1"/>
        <v>10</v>
      </c>
      <c r="L83" t="str" cm="1">
        <f t="array" ref="L83">_xlfn.IFS(G83&lt;=49,"Needs Improvement",G83&lt;=69,"Developing",G83&lt;=84,"Achieving",G83&lt;=94,"Exceeding",G83&lt;=100,"Outstanding")</f>
        <v>Achieving</v>
      </c>
      <c r="M83" s="25">
        <f>F83*_xlfn.XLOOKUP(L83,Lookup_Performance!$C$2:$C$6,Lookup_Performance!$D$2:$D$6,0)</f>
        <v>4186.2</v>
      </c>
    </row>
    <row r="84" spans="1:13" x14ac:dyDescent="0.35">
      <c r="A84" s="4" t="s">
        <v>127</v>
      </c>
      <c r="B84" s="4" t="s">
        <v>21</v>
      </c>
      <c r="C84" s="4" t="s">
        <v>42</v>
      </c>
      <c r="D84" s="16" t="s">
        <v>19</v>
      </c>
      <c r="E84" s="7">
        <v>42330</v>
      </c>
      <c r="F84" s="17">
        <v>98299</v>
      </c>
      <c r="G84" s="4">
        <v>61</v>
      </c>
      <c r="H84" s="16" t="s">
        <v>36</v>
      </c>
      <c r="I84" s="16" t="str">
        <f>_xlfn.TEXTJOIN(" ",TRUE, 'Raw_Employee_Data with Fomulas'!$B84,'Raw_Employee_Data with Fomulas'!$C84)</f>
        <v>Thomas Williams</v>
      </c>
      <c r="J84" s="11" t="str">
        <f>_xlfn.XLOOKUP(D84,Lookup_Departments!A:A,Lookup_Departments!B:B)</f>
        <v>Finance</v>
      </c>
      <c r="K84" s="11">
        <f t="shared" ca="1" si="1"/>
        <v>10</v>
      </c>
      <c r="L84" t="str" cm="1">
        <f t="array" ref="L84">_xlfn.IFS(G84&lt;=49,"Needs Improvement",G84&lt;=69,"Developing",G84&lt;=84,"Achieving",G84&lt;=94,"Exceeding",G84&lt;=100,"Outstanding")</f>
        <v>Developing</v>
      </c>
      <c r="M84" s="25">
        <f>F84*_xlfn.XLOOKUP(L84,Lookup_Performance!$C$2:$C$6,Lookup_Performance!$D$2:$D$6,0)</f>
        <v>1965.98</v>
      </c>
    </row>
    <row r="85" spans="1:13" x14ac:dyDescent="0.35">
      <c r="A85" s="5" t="s">
        <v>128</v>
      </c>
      <c r="B85" s="5" t="s">
        <v>82</v>
      </c>
      <c r="C85" s="5" t="s">
        <v>42</v>
      </c>
      <c r="D85" s="14" t="s">
        <v>19</v>
      </c>
      <c r="E85" s="7">
        <v>43372</v>
      </c>
      <c r="F85" s="15">
        <v>82713.429999999993</v>
      </c>
      <c r="G85" s="5">
        <v>68</v>
      </c>
      <c r="H85" s="14" t="s">
        <v>36</v>
      </c>
      <c r="I85" s="14" t="str">
        <f>_xlfn.TEXTJOIN(" ",TRUE, 'Raw_Employee_Data with Fomulas'!$B85,'Raw_Employee_Data with Fomulas'!$C85)</f>
        <v>David Williams</v>
      </c>
      <c r="J85" s="11" t="str">
        <f>_xlfn.XLOOKUP(D85,Lookup_Departments!A:A,Lookup_Departments!B:B)</f>
        <v>Finance</v>
      </c>
      <c r="K85" s="11">
        <f t="shared" ca="1" si="1"/>
        <v>7</v>
      </c>
      <c r="L85" t="str" cm="1">
        <f t="array" ref="L85">_xlfn.IFS(G85&lt;=49,"Needs Improvement",G85&lt;=69,"Developing",G85&lt;=84,"Achieving",G85&lt;=94,"Exceeding",G85&lt;=100,"Outstanding")</f>
        <v>Developing</v>
      </c>
      <c r="M85" s="25">
        <f>F85*_xlfn.XLOOKUP(L85,Lookup_Performance!$C$2:$C$6,Lookup_Performance!$D$2:$D$6,0)</f>
        <v>1654.2685999999999</v>
      </c>
    </row>
    <row r="86" spans="1:13" x14ac:dyDescent="0.35">
      <c r="A86" s="4" t="s">
        <v>129</v>
      </c>
      <c r="B86" s="4" t="s">
        <v>17</v>
      </c>
      <c r="C86" s="4" t="s">
        <v>25</v>
      </c>
      <c r="D86" s="16" t="s">
        <v>9</v>
      </c>
      <c r="E86" s="7">
        <v>44966</v>
      </c>
      <c r="F86" s="17">
        <v>52287</v>
      </c>
      <c r="G86" s="4">
        <v>70</v>
      </c>
      <c r="H86" s="16" t="s">
        <v>36</v>
      </c>
      <c r="I86" s="16" t="str">
        <f>_xlfn.TEXTJOIN(" ",TRUE, 'Raw_Employee_Data with Fomulas'!$B86,'Raw_Employee_Data with Fomulas'!$C86)</f>
        <v>John Johnson</v>
      </c>
      <c r="J86" s="11" t="str">
        <f>_xlfn.XLOOKUP(D86,Lookup_Departments!A:A,Lookup_Departments!B:B)</f>
        <v>Information Technology</v>
      </c>
      <c r="K86" s="11">
        <f t="shared" ca="1" si="1"/>
        <v>3</v>
      </c>
      <c r="L86" t="str" cm="1">
        <f t="array" ref="L86">_xlfn.IFS(G86&lt;=49,"Needs Improvement",G86&lt;=69,"Developing",G86&lt;=84,"Achieving",G86&lt;=94,"Exceeding",G86&lt;=100,"Outstanding")</f>
        <v>Achieving</v>
      </c>
      <c r="M86" s="25">
        <f>F86*_xlfn.XLOOKUP(L86,Lookup_Performance!$C$2:$C$6,Lookup_Performance!$D$2:$D$6,0)</f>
        <v>2614.3500000000004</v>
      </c>
    </row>
    <row r="87" spans="1:13" x14ac:dyDescent="0.35">
      <c r="A87" s="5" t="s">
        <v>130</v>
      </c>
      <c r="B87" s="5" t="s">
        <v>11</v>
      </c>
      <c r="C87" s="5" t="s">
        <v>15</v>
      </c>
      <c r="D87" s="14" t="s">
        <v>9</v>
      </c>
      <c r="E87" s="7">
        <v>44759</v>
      </c>
      <c r="F87" s="15">
        <v>82633</v>
      </c>
      <c r="G87" s="5">
        <v>98</v>
      </c>
      <c r="H87" s="14" t="s">
        <v>36</v>
      </c>
      <c r="I87" s="14" t="str">
        <f>_xlfn.TEXTJOIN(" ",TRUE, 'Raw_Employee_Data with Fomulas'!$B87,'Raw_Employee_Data with Fomulas'!$C87)</f>
        <v>Richard Gonzalez</v>
      </c>
      <c r="J87" s="11" t="str">
        <f>_xlfn.XLOOKUP(D87,Lookup_Departments!A:A,Lookup_Departments!B:B)</f>
        <v>Information Technology</v>
      </c>
      <c r="K87" s="11">
        <f t="shared" ca="1" si="1"/>
        <v>3</v>
      </c>
      <c r="L87" t="str" cm="1">
        <f t="array" ref="L87">_xlfn.IFS(G87&lt;=49,"Needs Improvement",G87&lt;=69,"Developing",G87&lt;=84,"Achieving",G87&lt;=94,"Exceeding",G87&lt;=100,"Outstanding")</f>
        <v>Outstanding</v>
      </c>
      <c r="M87" s="25">
        <f>F87*_xlfn.XLOOKUP(L87,Lookup_Performance!$C$2:$C$6,Lookup_Performance!$D$2:$D$6,0)</f>
        <v>9915.9599999999991</v>
      </c>
    </row>
    <row r="88" spans="1:13" x14ac:dyDescent="0.35">
      <c r="A88" s="4" t="s">
        <v>131</v>
      </c>
      <c r="B88" s="4" t="s">
        <v>77</v>
      </c>
      <c r="C88" s="4" t="s">
        <v>99</v>
      </c>
      <c r="D88" s="16" t="s">
        <v>26</v>
      </c>
      <c r="E88" s="7">
        <v>44234</v>
      </c>
      <c r="F88" s="17">
        <v>46508</v>
      </c>
      <c r="G88" s="4">
        <v>34</v>
      </c>
      <c r="H88" s="16" t="s">
        <v>36</v>
      </c>
      <c r="I88" s="16" t="str">
        <f>_xlfn.TEXTJOIN(" ",TRUE, 'Raw_Employee_Data with Fomulas'!$B88,'Raw_Employee_Data with Fomulas'!$C88)</f>
        <v>Melissa Anderson</v>
      </c>
      <c r="J88" s="11" t="str">
        <f>_xlfn.XLOOKUP(D88,Lookup_Departments!A:A,Lookup_Departments!B:B)</f>
        <v>Operations</v>
      </c>
      <c r="K88" s="11">
        <f t="shared" ca="1" si="1"/>
        <v>5</v>
      </c>
      <c r="L88" t="str" cm="1">
        <f t="array" ref="L88">_xlfn.IFS(G88&lt;=49,"Needs Improvement",G88&lt;=69,"Developing",G88&lt;=84,"Achieving",G88&lt;=94,"Exceeding",G88&lt;=100,"Outstanding")</f>
        <v>Needs Improvement</v>
      </c>
      <c r="M88" s="25">
        <f>F88*_xlfn.XLOOKUP(L88,Lookup_Performance!$C$2:$C$6,Lookup_Performance!$D$2:$D$6,0)</f>
        <v>0</v>
      </c>
    </row>
    <row r="89" spans="1:13" x14ac:dyDescent="0.35">
      <c r="A89" s="5" t="s">
        <v>132</v>
      </c>
      <c r="B89" s="5" t="s">
        <v>7</v>
      </c>
      <c r="C89" s="5" t="s">
        <v>15</v>
      </c>
      <c r="D89" s="14" t="s">
        <v>72</v>
      </c>
      <c r="E89" s="7">
        <v>45026</v>
      </c>
      <c r="F89" s="15">
        <v>86232</v>
      </c>
      <c r="G89" s="5">
        <v>93</v>
      </c>
      <c r="H89" s="14" t="s">
        <v>36</v>
      </c>
      <c r="I89" s="14" t="str">
        <f>_xlfn.TEXTJOIN(" ",TRUE, 'Raw_Employee_Data with Fomulas'!$B89,'Raw_Employee_Data with Fomulas'!$C89)</f>
        <v>Emily Gonzalez</v>
      </c>
      <c r="J89" s="11" t="str">
        <f>_xlfn.XLOOKUP(D89,Lookup_Departments!A:A,Lookup_Departments!B:B)</f>
        <v>Human Resources</v>
      </c>
      <c r="K89" s="11">
        <f t="shared" ca="1" si="1"/>
        <v>3</v>
      </c>
      <c r="L89" t="str" cm="1">
        <f t="array" ref="L89">_xlfn.IFS(G89&lt;=49,"Needs Improvement",G89&lt;=69,"Developing",G89&lt;=84,"Achieving",G89&lt;=94,"Exceeding",G89&lt;=100,"Outstanding")</f>
        <v>Exceeding</v>
      </c>
      <c r="M89" s="25">
        <f>F89*_xlfn.XLOOKUP(L89,Lookup_Performance!$C$2:$C$6,Lookup_Performance!$D$2:$D$6,0)</f>
        <v>6898.56</v>
      </c>
    </row>
    <row r="90" spans="1:13" x14ac:dyDescent="0.35">
      <c r="A90" s="4" t="s">
        <v>133</v>
      </c>
      <c r="B90" s="4" t="s">
        <v>41</v>
      </c>
      <c r="C90" s="4" t="s">
        <v>49</v>
      </c>
      <c r="D90" s="16" t="s">
        <v>9</v>
      </c>
      <c r="E90" s="7">
        <v>44073</v>
      </c>
      <c r="F90" s="17">
        <v>77545</v>
      </c>
      <c r="G90" s="4">
        <v>48</v>
      </c>
      <c r="H90" s="16" t="s">
        <v>36</v>
      </c>
      <c r="I90" s="16" t="str">
        <f>_xlfn.TEXTJOIN(" ",TRUE, 'Raw_Employee_Data with Fomulas'!$B90,'Raw_Employee_Data with Fomulas'!$C90)</f>
        <v>Jane Davis</v>
      </c>
      <c r="J90" s="11" t="str">
        <f>_xlfn.XLOOKUP(D90,Lookup_Departments!A:A,Lookup_Departments!B:B)</f>
        <v>Information Technology</v>
      </c>
      <c r="K90" s="11">
        <f t="shared" ca="1" si="1"/>
        <v>5</v>
      </c>
      <c r="L90" t="str" cm="1">
        <f t="array" ref="L90">_xlfn.IFS(G90&lt;=49,"Needs Improvement",G90&lt;=69,"Developing",G90&lt;=84,"Achieving",G90&lt;=94,"Exceeding",G90&lt;=100,"Outstanding")</f>
        <v>Needs Improvement</v>
      </c>
      <c r="M90" s="25">
        <f>F90*_xlfn.XLOOKUP(L90,Lookup_Performance!$C$2:$C$6,Lookup_Performance!$D$2:$D$6,0)</f>
        <v>0</v>
      </c>
    </row>
    <row r="91" spans="1:13" x14ac:dyDescent="0.35">
      <c r="A91" s="5" t="s">
        <v>134</v>
      </c>
      <c r="B91" s="5" t="s">
        <v>115</v>
      </c>
      <c r="C91" s="5" t="s">
        <v>15</v>
      </c>
      <c r="D91" s="14" t="s">
        <v>26</v>
      </c>
      <c r="E91" s="7">
        <v>44422</v>
      </c>
      <c r="F91" s="15">
        <v>68683</v>
      </c>
      <c r="G91" s="5">
        <v>90</v>
      </c>
      <c r="H91" s="14" t="s">
        <v>23</v>
      </c>
      <c r="I91" s="14" t="str">
        <f>_xlfn.TEXTJOIN(" ",TRUE, 'Raw_Employee_Data with Fomulas'!$B91,'Raw_Employee_Data with Fomulas'!$C91)</f>
        <v>William Gonzalez</v>
      </c>
      <c r="J91" s="11" t="str">
        <f>_xlfn.XLOOKUP(D91,Lookup_Departments!A:A,Lookup_Departments!B:B)</f>
        <v>Operations</v>
      </c>
      <c r="K91" s="11">
        <f t="shared" ca="1" si="1"/>
        <v>4</v>
      </c>
      <c r="L91" t="str" cm="1">
        <f t="array" ref="L91">_xlfn.IFS(G91&lt;=49,"Needs Improvement",G91&lt;=69,"Developing",G91&lt;=84,"Achieving",G91&lt;=94,"Exceeding",G91&lt;=100,"Outstanding")</f>
        <v>Exceeding</v>
      </c>
      <c r="M91" s="25">
        <f>F91*_xlfn.XLOOKUP(L91,Lookup_Performance!$C$2:$C$6,Lookup_Performance!$D$2:$D$6,0)</f>
        <v>5494.64</v>
      </c>
    </row>
    <row r="92" spans="1:13" x14ac:dyDescent="0.35">
      <c r="A92" s="4" t="s">
        <v>135</v>
      </c>
      <c r="B92" s="4" t="s">
        <v>21</v>
      </c>
      <c r="C92" s="4" t="s">
        <v>46</v>
      </c>
      <c r="D92" s="16" t="s">
        <v>19</v>
      </c>
      <c r="E92" s="7">
        <v>43796</v>
      </c>
      <c r="F92" s="17">
        <v>83932</v>
      </c>
      <c r="G92" s="4">
        <v>57</v>
      </c>
      <c r="H92" s="16" t="s">
        <v>36</v>
      </c>
      <c r="I92" s="16" t="str">
        <f>_xlfn.TEXTJOIN(" ",TRUE, 'Raw_Employee_Data with Fomulas'!$B92,'Raw_Employee_Data with Fomulas'!$C92)</f>
        <v>Thomas Jones</v>
      </c>
      <c r="J92" s="11" t="str">
        <f>_xlfn.XLOOKUP(D92,Lookup_Departments!A:A,Lookup_Departments!B:B)</f>
        <v>Finance</v>
      </c>
      <c r="K92" s="11">
        <f t="shared" ca="1" si="1"/>
        <v>6</v>
      </c>
      <c r="L92" t="str" cm="1">
        <f t="array" ref="L92">_xlfn.IFS(G92&lt;=49,"Needs Improvement",G92&lt;=69,"Developing",G92&lt;=84,"Achieving",G92&lt;=94,"Exceeding",G92&lt;=100,"Outstanding")</f>
        <v>Developing</v>
      </c>
      <c r="M92" s="25">
        <f>F92*_xlfn.XLOOKUP(L92,Lookup_Performance!$C$2:$C$6,Lookup_Performance!$D$2:$D$6,0)</f>
        <v>1678.64</v>
      </c>
    </row>
    <row r="93" spans="1:13" x14ac:dyDescent="0.35">
      <c r="A93" s="5" t="s">
        <v>136</v>
      </c>
      <c r="B93" s="5" t="s">
        <v>30</v>
      </c>
      <c r="C93" s="5" t="s">
        <v>99</v>
      </c>
      <c r="D93" s="14" t="s">
        <v>72</v>
      </c>
      <c r="E93" s="7">
        <v>42880</v>
      </c>
      <c r="F93" s="15">
        <v>56073</v>
      </c>
      <c r="G93" s="5">
        <v>79</v>
      </c>
      <c r="H93" s="14" t="s">
        <v>36</v>
      </c>
      <c r="I93" s="14" t="str">
        <f>_xlfn.TEXTJOIN(" ",TRUE, 'Raw_Employee_Data with Fomulas'!$B93,'Raw_Employee_Data with Fomulas'!$C93)</f>
        <v>Jessica Anderson</v>
      </c>
      <c r="J93" s="11" t="str">
        <f>_xlfn.XLOOKUP(D93,Lookup_Departments!A:A,Lookup_Departments!B:B)</f>
        <v>Human Resources</v>
      </c>
      <c r="K93" s="11">
        <f t="shared" ca="1" si="1"/>
        <v>9</v>
      </c>
      <c r="L93" t="str" cm="1">
        <f t="array" ref="L93">_xlfn.IFS(G93&lt;=49,"Needs Improvement",G93&lt;=69,"Developing",G93&lt;=84,"Achieving",G93&lt;=94,"Exceeding",G93&lt;=100,"Outstanding")</f>
        <v>Achieving</v>
      </c>
      <c r="M93" s="25">
        <f>F93*_xlfn.XLOOKUP(L93,Lookup_Performance!$C$2:$C$6,Lookup_Performance!$D$2:$D$6,0)</f>
        <v>2803.65</v>
      </c>
    </row>
    <row r="94" spans="1:13" x14ac:dyDescent="0.35">
      <c r="A94" s="4" t="s">
        <v>137</v>
      </c>
      <c r="B94" s="4" t="s">
        <v>77</v>
      </c>
      <c r="C94" s="4" t="s">
        <v>25</v>
      </c>
      <c r="D94" s="16" t="s">
        <v>9</v>
      </c>
      <c r="E94" s="7">
        <v>43143</v>
      </c>
      <c r="F94" s="17">
        <v>88056</v>
      </c>
      <c r="G94" s="4">
        <v>66</v>
      </c>
      <c r="H94" s="16" t="s">
        <v>23</v>
      </c>
      <c r="I94" s="16" t="str">
        <f>_xlfn.TEXTJOIN(" ",TRUE, 'Raw_Employee_Data with Fomulas'!$B94,'Raw_Employee_Data with Fomulas'!$C94)</f>
        <v>Melissa Johnson</v>
      </c>
      <c r="J94" s="11" t="str">
        <f>_xlfn.XLOOKUP(D94,Lookup_Departments!A:A,Lookup_Departments!B:B)</f>
        <v>Information Technology</v>
      </c>
      <c r="K94" s="11">
        <f t="shared" ca="1" si="1"/>
        <v>8</v>
      </c>
      <c r="L94" t="str" cm="1">
        <f t="array" ref="L94">_xlfn.IFS(G94&lt;=49,"Needs Improvement",G94&lt;=69,"Developing",G94&lt;=84,"Achieving",G94&lt;=94,"Exceeding",G94&lt;=100,"Outstanding")</f>
        <v>Developing</v>
      </c>
      <c r="M94" s="25">
        <f>F94*_xlfn.XLOOKUP(L94,Lookup_Performance!$C$2:$C$6,Lookup_Performance!$D$2:$D$6,0)</f>
        <v>1761.1200000000001</v>
      </c>
    </row>
    <row r="95" spans="1:13" x14ac:dyDescent="0.35">
      <c r="A95" s="5" t="s">
        <v>138</v>
      </c>
      <c r="B95" s="5" t="s">
        <v>21</v>
      </c>
      <c r="C95" s="5" t="s">
        <v>38</v>
      </c>
      <c r="D95" s="14" t="s">
        <v>26</v>
      </c>
      <c r="E95" s="7">
        <v>43639</v>
      </c>
      <c r="F95" s="15">
        <v>67414</v>
      </c>
      <c r="G95" s="5">
        <v>84</v>
      </c>
      <c r="H95" s="14" t="s">
        <v>36</v>
      </c>
      <c r="I95" s="14" t="str">
        <f>_xlfn.TEXTJOIN(" ",TRUE, 'Raw_Employee_Data with Fomulas'!$B95,'Raw_Employee_Data with Fomulas'!$C95)</f>
        <v>Thomas Miller</v>
      </c>
      <c r="J95" s="11" t="str">
        <f>_xlfn.XLOOKUP(D95,Lookup_Departments!A:A,Lookup_Departments!B:B)</f>
        <v>Operations</v>
      </c>
      <c r="K95" s="11">
        <f t="shared" ca="1" si="1"/>
        <v>7</v>
      </c>
      <c r="L95" t="str" cm="1">
        <f t="array" ref="L95">_xlfn.IFS(G95&lt;=49,"Needs Improvement",G95&lt;=69,"Developing",G95&lt;=84,"Achieving",G95&lt;=94,"Exceeding",G95&lt;=100,"Outstanding")</f>
        <v>Achieving</v>
      </c>
      <c r="M95" s="25">
        <f>F95*_xlfn.XLOOKUP(L95,Lookup_Performance!$C$2:$C$6,Lookup_Performance!$D$2:$D$6,0)</f>
        <v>3370.7000000000003</v>
      </c>
    </row>
    <row r="96" spans="1:13" x14ac:dyDescent="0.35">
      <c r="A96" s="4" t="s">
        <v>139</v>
      </c>
      <c r="B96" s="4" t="s">
        <v>115</v>
      </c>
      <c r="C96" s="4" t="s">
        <v>15</v>
      </c>
      <c r="D96" s="16" t="s">
        <v>35</v>
      </c>
      <c r="E96" s="7">
        <v>42304</v>
      </c>
      <c r="F96" s="17">
        <v>115288</v>
      </c>
      <c r="G96" s="4">
        <v>61</v>
      </c>
      <c r="H96" s="16" t="s">
        <v>36</v>
      </c>
      <c r="I96" s="16" t="str">
        <f>_xlfn.TEXTJOIN(" ",TRUE, 'Raw_Employee_Data with Fomulas'!$B96,'Raw_Employee_Data with Fomulas'!$C96)</f>
        <v>William Gonzalez</v>
      </c>
      <c r="J96" s="11" t="str">
        <f>_xlfn.XLOOKUP(D96,Lookup_Departments!A:A,Lookup_Departments!B:B)</f>
        <v>Sales</v>
      </c>
      <c r="K96" s="11">
        <f t="shared" ca="1" si="1"/>
        <v>10</v>
      </c>
      <c r="L96" t="str" cm="1">
        <f t="array" ref="L96">_xlfn.IFS(G96&lt;=49,"Needs Improvement",G96&lt;=69,"Developing",G96&lt;=84,"Achieving",G96&lt;=94,"Exceeding",G96&lt;=100,"Outstanding")</f>
        <v>Developing</v>
      </c>
      <c r="M96" s="25">
        <f>F96*_xlfn.XLOOKUP(L96,Lookup_Performance!$C$2:$C$6,Lookup_Performance!$D$2:$D$6,0)</f>
        <v>2305.7600000000002</v>
      </c>
    </row>
    <row r="97" spans="1:13" x14ac:dyDescent="0.35">
      <c r="A97" s="5" t="s">
        <v>140</v>
      </c>
      <c r="B97" s="5" t="s">
        <v>7</v>
      </c>
      <c r="C97" s="5" t="s">
        <v>22</v>
      </c>
      <c r="D97" s="14" t="s">
        <v>35</v>
      </c>
      <c r="E97" s="7">
        <v>43270</v>
      </c>
      <c r="F97" s="15">
        <v>80140</v>
      </c>
      <c r="G97" s="5">
        <v>58</v>
      </c>
      <c r="H97" s="14" t="s">
        <v>36</v>
      </c>
      <c r="I97" s="14" t="str">
        <f>_xlfn.TEXTJOIN(" ",TRUE, 'Raw_Employee_Data with Fomulas'!$B97,'Raw_Employee_Data with Fomulas'!$C97)</f>
        <v>Emily Smith</v>
      </c>
      <c r="J97" s="11" t="str">
        <f>_xlfn.XLOOKUP(D97,Lookup_Departments!A:A,Lookup_Departments!B:B)</f>
        <v>Sales</v>
      </c>
      <c r="K97" s="11">
        <f t="shared" ca="1" si="1"/>
        <v>8</v>
      </c>
      <c r="L97" t="str" cm="1">
        <f t="array" ref="L97">_xlfn.IFS(G97&lt;=49,"Needs Improvement",G97&lt;=69,"Developing",G97&lt;=84,"Achieving",G97&lt;=94,"Exceeding",G97&lt;=100,"Outstanding")</f>
        <v>Developing</v>
      </c>
      <c r="M97" s="25">
        <f>F97*_xlfn.XLOOKUP(L97,Lookup_Performance!$C$2:$C$6,Lookup_Performance!$D$2:$D$6,0)</f>
        <v>1602.8</v>
      </c>
    </row>
    <row r="98" spans="1:13" x14ac:dyDescent="0.35">
      <c r="A98" s="4" t="s">
        <v>141</v>
      </c>
      <c r="B98" s="4" t="s">
        <v>17</v>
      </c>
      <c r="C98" s="4" t="s">
        <v>25</v>
      </c>
      <c r="D98" s="16" t="s">
        <v>9</v>
      </c>
      <c r="E98" s="7">
        <v>43435</v>
      </c>
      <c r="F98" s="17">
        <v>73087</v>
      </c>
      <c r="G98" s="4">
        <v>69</v>
      </c>
      <c r="H98" s="16" t="s">
        <v>36</v>
      </c>
      <c r="I98" s="16" t="str">
        <f>_xlfn.TEXTJOIN(" ",TRUE, 'Raw_Employee_Data with Fomulas'!$B98,'Raw_Employee_Data with Fomulas'!$C98)</f>
        <v>John Johnson</v>
      </c>
      <c r="J98" s="11" t="str">
        <f>_xlfn.XLOOKUP(D98,Lookup_Departments!A:A,Lookup_Departments!B:B)</f>
        <v>Information Technology</v>
      </c>
      <c r="K98" s="11">
        <f t="shared" ca="1" si="1"/>
        <v>7</v>
      </c>
      <c r="L98" t="str" cm="1">
        <f t="array" ref="L98">_xlfn.IFS(G98&lt;=49,"Needs Improvement",G98&lt;=69,"Developing",G98&lt;=84,"Achieving",G98&lt;=94,"Exceeding",G98&lt;=100,"Outstanding")</f>
        <v>Developing</v>
      </c>
      <c r="M98" s="25">
        <f>F98*_xlfn.XLOOKUP(L98,Lookup_Performance!$C$2:$C$6,Lookup_Performance!$D$2:$D$6,0)</f>
        <v>1461.74</v>
      </c>
    </row>
    <row r="99" spans="1:13" x14ac:dyDescent="0.35">
      <c r="A99" s="5" t="s">
        <v>142</v>
      </c>
      <c r="B99" s="5" t="s">
        <v>41</v>
      </c>
      <c r="C99" s="5" t="s">
        <v>25</v>
      </c>
      <c r="D99" s="14" t="s">
        <v>35</v>
      </c>
      <c r="E99" s="7">
        <v>42095</v>
      </c>
      <c r="F99" s="15">
        <v>95292</v>
      </c>
      <c r="G99" s="5">
        <v>34</v>
      </c>
      <c r="H99" s="14" t="s">
        <v>36</v>
      </c>
      <c r="I99" s="14" t="str">
        <f>_xlfn.TEXTJOIN(" ",TRUE, 'Raw_Employee_Data with Fomulas'!$B99,'Raw_Employee_Data with Fomulas'!$C99)</f>
        <v>Jane Johnson</v>
      </c>
      <c r="J99" s="11" t="str">
        <f>_xlfn.XLOOKUP(D99,Lookup_Departments!A:A,Lookup_Departments!B:B)</f>
        <v>Sales</v>
      </c>
      <c r="K99" s="11">
        <f t="shared" ca="1" si="1"/>
        <v>11</v>
      </c>
      <c r="L99" t="str" cm="1">
        <f t="array" ref="L99">_xlfn.IFS(G99&lt;=49,"Needs Improvement",G99&lt;=69,"Developing",G99&lt;=84,"Achieving",G99&lt;=94,"Exceeding",G99&lt;=100,"Outstanding")</f>
        <v>Needs Improvement</v>
      </c>
      <c r="M99" s="25">
        <f>F99*_xlfn.XLOOKUP(L99,Lookup_Performance!$C$2:$C$6,Lookup_Performance!$D$2:$D$6,0)</f>
        <v>0</v>
      </c>
    </row>
    <row r="100" spans="1:13" x14ac:dyDescent="0.35">
      <c r="A100" s="4" t="s">
        <v>143</v>
      </c>
      <c r="B100" s="4" t="s">
        <v>17</v>
      </c>
      <c r="C100" s="4" t="s">
        <v>46</v>
      </c>
      <c r="D100" s="16" t="s">
        <v>9</v>
      </c>
      <c r="E100" s="7">
        <v>43232</v>
      </c>
      <c r="F100" s="17">
        <v>82713.429999999993</v>
      </c>
      <c r="G100" s="4">
        <v>33</v>
      </c>
      <c r="H100" s="16" t="s">
        <v>23</v>
      </c>
      <c r="I100" s="16" t="str">
        <f>_xlfn.TEXTJOIN(" ",TRUE, 'Raw_Employee_Data with Fomulas'!$B100,'Raw_Employee_Data with Fomulas'!$C100)</f>
        <v>John Jones</v>
      </c>
      <c r="J100" s="11" t="str">
        <f>_xlfn.XLOOKUP(D100,Lookup_Departments!A:A,Lookup_Departments!B:B)</f>
        <v>Information Technology</v>
      </c>
      <c r="K100" s="11">
        <f t="shared" ca="1" si="1"/>
        <v>8</v>
      </c>
      <c r="L100" t="str" cm="1">
        <f t="array" ref="L100">_xlfn.IFS(G100&lt;=49,"Needs Improvement",G100&lt;=69,"Developing",G100&lt;=84,"Achieving",G100&lt;=94,"Exceeding",G100&lt;=100,"Outstanding")</f>
        <v>Needs Improvement</v>
      </c>
      <c r="M100" s="25">
        <f>F100*_xlfn.XLOOKUP(L100,Lookup_Performance!$C$2:$C$6,Lookup_Performance!$D$2:$D$6,0)</f>
        <v>0</v>
      </c>
    </row>
    <row r="101" spans="1:13" x14ac:dyDescent="0.35">
      <c r="A101" s="5" t="s">
        <v>144</v>
      </c>
      <c r="B101" s="5" t="s">
        <v>41</v>
      </c>
      <c r="C101" s="5" t="s">
        <v>54</v>
      </c>
      <c r="D101" s="14" t="s">
        <v>13</v>
      </c>
      <c r="E101" s="7">
        <v>44482</v>
      </c>
      <c r="F101" s="15">
        <v>101750</v>
      </c>
      <c r="G101" s="5">
        <v>84</v>
      </c>
      <c r="H101" s="14" t="s">
        <v>36</v>
      </c>
      <c r="I101" s="14" t="str">
        <f>_xlfn.TEXTJOIN(" ",TRUE, 'Raw_Employee_Data with Fomulas'!$B101,'Raw_Employee_Data with Fomulas'!$C101)</f>
        <v>Jane Lopez</v>
      </c>
      <c r="J101" s="11" t="str">
        <f>_xlfn.XLOOKUP(D101,Lookup_Departments!A:A,Lookup_Departments!B:B)</f>
        <v>Marketing</v>
      </c>
      <c r="K101" s="11">
        <f t="shared" ca="1" si="1"/>
        <v>4</v>
      </c>
      <c r="L101" t="str" cm="1">
        <f t="array" ref="L101">_xlfn.IFS(G101&lt;=49,"Needs Improvement",G101&lt;=69,"Developing",G101&lt;=84,"Achieving",G101&lt;=94,"Exceeding",G101&lt;=100,"Outstanding")</f>
        <v>Achieving</v>
      </c>
      <c r="M101" s="25">
        <f>F101*_xlfn.XLOOKUP(L101,Lookup_Performance!$C$2:$C$6,Lookup_Performance!$D$2:$D$6,0)</f>
        <v>5087.5</v>
      </c>
    </row>
    <row r="102" spans="1:13" x14ac:dyDescent="0.35">
      <c r="A102" s="4" t="s">
        <v>145</v>
      </c>
      <c r="B102" s="4" t="s">
        <v>77</v>
      </c>
      <c r="C102" s="4" t="s">
        <v>15</v>
      </c>
      <c r="D102" s="16" t="s">
        <v>13</v>
      </c>
      <c r="E102" s="7">
        <v>44021</v>
      </c>
      <c r="F102" s="17">
        <v>82992</v>
      </c>
      <c r="G102" s="4">
        <v>79</v>
      </c>
      <c r="H102" s="16" t="s">
        <v>36</v>
      </c>
      <c r="I102" s="16" t="str">
        <f>_xlfn.TEXTJOIN(" ",TRUE, 'Raw_Employee_Data with Fomulas'!$B102,'Raw_Employee_Data with Fomulas'!$C102)</f>
        <v>Melissa Gonzalez</v>
      </c>
      <c r="J102" s="11" t="str">
        <f>_xlfn.XLOOKUP(D102,Lookup_Departments!A:A,Lookup_Departments!B:B)</f>
        <v>Marketing</v>
      </c>
      <c r="K102" s="11">
        <f t="shared" ca="1" si="1"/>
        <v>5</v>
      </c>
      <c r="L102" t="str" cm="1">
        <f t="array" ref="L102">_xlfn.IFS(G102&lt;=49,"Needs Improvement",G102&lt;=69,"Developing",G102&lt;=84,"Achieving",G102&lt;=94,"Exceeding",G102&lt;=100,"Outstanding")</f>
        <v>Achieving</v>
      </c>
      <c r="M102" s="25">
        <f>F102*_xlfn.XLOOKUP(L102,Lookup_Performance!$C$2:$C$6,Lookup_Performance!$D$2:$D$6,0)</f>
        <v>4149.6000000000004</v>
      </c>
    </row>
    <row r="103" spans="1:13" x14ac:dyDescent="0.35">
      <c r="A103" s="5" t="s">
        <v>146</v>
      </c>
      <c r="B103" s="5" t="s">
        <v>115</v>
      </c>
      <c r="C103" s="5" t="s">
        <v>49</v>
      </c>
      <c r="D103" s="14" t="s">
        <v>9</v>
      </c>
      <c r="E103" s="7">
        <v>43680</v>
      </c>
      <c r="F103" s="15">
        <v>49942</v>
      </c>
      <c r="G103" s="5">
        <v>51</v>
      </c>
      <c r="H103" s="14" t="s">
        <v>36</v>
      </c>
      <c r="I103" s="14" t="str">
        <f>_xlfn.TEXTJOIN(" ",TRUE, 'Raw_Employee_Data with Fomulas'!$B103,'Raw_Employee_Data with Fomulas'!$C103)</f>
        <v>William Davis</v>
      </c>
      <c r="J103" s="11" t="str">
        <f>_xlfn.XLOOKUP(D103,Lookup_Departments!A:A,Lookup_Departments!B:B)</f>
        <v>Information Technology</v>
      </c>
      <c r="K103" s="11">
        <f t="shared" ca="1" si="1"/>
        <v>6</v>
      </c>
      <c r="L103" t="str" cm="1">
        <f t="array" ref="L103">_xlfn.IFS(G103&lt;=49,"Needs Improvement",G103&lt;=69,"Developing",G103&lt;=84,"Achieving",G103&lt;=94,"Exceeding",G103&lt;=100,"Outstanding")</f>
        <v>Developing</v>
      </c>
      <c r="M103" s="25">
        <f>F103*_xlfn.XLOOKUP(L103,Lookup_Performance!$C$2:$C$6,Lookup_Performance!$D$2:$D$6,0)</f>
        <v>998.84</v>
      </c>
    </row>
    <row r="104" spans="1:13" x14ac:dyDescent="0.35">
      <c r="A104" s="4" t="s">
        <v>147</v>
      </c>
      <c r="B104" s="4" t="s">
        <v>17</v>
      </c>
      <c r="C104" s="4" t="s">
        <v>22</v>
      </c>
      <c r="D104" s="16" t="s">
        <v>26</v>
      </c>
      <c r="E104" s="7">
        <v>42074</v>
      </c>
      <c r="F104" s="17">
        <v>89060</v>
      </c>
      <c r="G104" s="4">
        <v>58</v>
      </c>
      <c r="H104" s="16" t="s">
        <v>36</v>
      </c>
      <c r="I104" s="16" t="str">
        <f>_xlfn.TEXTJOIN(" ",TRUE, 'Raw_Employee_Data with Fomulas'!$B104,'Raw_Employee_Data with Fomulas'!$C104)</f>
        <v>John Smith</v>
      </c>
      <c r="J104" s="11" t="str">
        <f>_xlfn.XLOOKUP(D104,Lookup_Departments!A:A,Lookup_Departments!B:B)</f>
        <v>Operations</v>
      </c>
      <c r="K104" s="11">
        <f t="shared" ca="1" si="1"/>
        <v>11</v>
      </c>
      <c r="L104" t="str" cm="1">
        <f t="array" ref="L104">_xlfn.IFS(G104&lt;=49,"Needs Improvement",G104&lt;=69,"Developing",G104&lt;=84,"Achieving",G104&lt;=94,"Exceeding",G104&lt;=100,"Outstanding")</f>
        <v>Developing</v>
      </c>
      <c r="M104" s="25">
        <f>F104*_xlfn.XLOOKUP(L104,Lookup_Performance!$C$2:$C$6,Lookup_Performance!$D$2:$D$6,0)</f>
        <v>1781.2</v>
      </c>
    </row>
    <row r="105" spans="1:13" x14ac:dyDescent="0.35">
      <c r="A105" s="5" t="s">
        <v>148</v>
      </c>
      <c r="B105" s="5" t="s">
        <v>51</v>
      </c>
      <c r="C105" s="5" t="s">
        <v>15</v>
      </c>
      <c r="D105" s="14" t="s">
        <v>9</v>
      </c>
      <c r="E105" s="7">
        <v>42785</v>
      </c>
      <c r="F105" s="15">
        <v>53786</v>
      </c>
      <c r="G105" s="5">
        <v>98</v>
      </c>
      <c r="H105" s="14" t="s">
        <v>36</v>
      </c>
      <c r="I105" s="14" t="str">
        <f>_xlfn.TEXTJOIN(" ",TRUE, 'Raw_Employee_Data with Fomulas'!$B105,'Raw_Employee_Data with Fomulas'!$C105)</f>
        <v>James Gonzalez</v>
      </c>
      <c r="J105" s="11" t="str">
        <f>_xlfn.XLOOKUP(D105,Lookup_Departments!A:A,Lookup_Departments!B:B)</f>
        <v>Information Technology</v>
      </c>
      <c r="K105" s="11">
        <f t="shared" ca="1" si="1"/>
        <v>9</v>
      </c>
      <c r="L105" t="str" cm="1">
        <f t="array" ref="L105">_xlfn.IFS(G105&lt;=49,"Needs Improvement",G105&lt;=69,"Developing",G105&lt;=84,"Achieving",G105&lt;=94,"Exceeding",G105&lt;=100,"Outstanding")</f>
        <v>Outstanding</v>
      </c>
      <c r="M105" s="25">
        <f>F105*_xlfn.XLOOKUP(L105,Lookup_Performance!$C$2:$C$6,Lookup_Performance!$D$2:$D$6,0)</f>
        <v>6454.32</v>
      </c>
    </row>
    <row r="106" spans="1:13" x14ac:dyDescent="0.35">
      <c r="A106" s="4" t="s">
        <v>149</v>
      </c>
      <c r="B106" s="4" t="s">
        <v>7</v>
      </c>
      <c r="C106" s="4" t="s">
        <v>25</v>
      </c>
      <c r="D106" s="16" t="s">
        <v>26</v>
      </c>
      <c r="E106" s="7">
        <v>45174</v>
      </c>
      <c r="F106" s="17">
        <v>81167</v>
      </c>
      <c r="G106" s="4">
        <v>68</v>
      </c>
      <c r="H106" s="16" t="s">
        <v>23</v>
      </c>
      <c r="I106" s="16" t="str">
        <f>_xlfn.TEXTJOIN(" ",TRUE, 'Raw_Employee_Data with Fomulas'!$B106,'Raw_Employee_Data with Fomulas'!$C106)</f>
        <v>Emily Johnson</v>
      </c>
      <c r="J106" s="11" t="str">
        <f>_xlfn.XLOOKUP(D106,Lookup_Departments!A:A,Lookup_Departments!B:B)</f>
        <v>Operations</v>
      </c>
      <c r="K106" s="11">
        <f t="shared" ca="1" si="1"/>
        <v>2</v>
      </c>
      <c r="L106" t="str" cm="1">
        <f t="array" ref="L106">_xlfn.IFS(G106&lt;=49,"Needs Improvement",G106&lt;=69,"Developing",G106&lt;=84,"Achieving",G106&lt;=94,"Exceeding",G106&lt;=100,"Outstanding")</f>
        <v>Developing</v>
      </c>
      <c r="M106" s="25">
        <f>F106*_xlfn.XLOOKUP(L106,Lookup_Performance!$C$2:$C$6,Lookup_Performance!$D$2:$D$6,0)</f>
        <v>1623.3400000000001</v>
      </c>
    </row>
    <row r="107" spans="1:13" x14ac:dyDescent="0.35">
      <c r="A107" s="5" t="s">
        <v>150</v>
      </c>
      <c r="B107" s="5" t="s">
        <v>115</v>
      </c>
      <c r="C107" s="5" t="s">
        <v>42</v>
      </c>
      <c r="D107" s="14" t="s">
        <v>13</v>
      </c>
      <c r="E107" s="7">
        <v>43122</v>
      </c>
      <c r="F107" s="15">
        <v>66688</v>
      </c>
      <c r="G107" s="5">
        <v>40</v>
      </c>
      <c r="H107" s="14" t="s">
        <v>36</v>
      </c>
      <c r="I107" s="14" t="str">
        <f>_xlfn.TEXTJOIN(" ",TRUE, 'Raw_Employee_Data with Fomulas'!$B107,'Raw_Employee_Data with Fomulas'!$C107)</f>
        <v>William Williams</v>
      </c>
      <c r="J107" s="11" t="str">
        <f>_xlfn.XLOOKUP(D107,Lookup_Departments!A:A,Lookup_Departments!B:B)</f>
        <v>Marketing</v>
      </c>
      <c r="K107" s="11">
        <f t="shared" ca="1" si="1"/>
        <v>8</v>
      </c>
      <c r="L107" t="str" cm="1">
        <f t="array" ref="L107">_xlfn.IFS(G107&lt;=49,"Needs Improvement",G107&lt;=69,"Developing",G107&lt;=84,"Achieving",G107&lt;=94,"Exceeding",G107&lt;=100,"Outstanding")</f>
        <v>Needs Improvement</v>
      </c>
      <c r="M107" s="25">
        <f>F107*_xlfn.XLOOKUP(L107,Lookup_Performance!$C$2:$C$6,Lookup_Performance!$D$2:$D$6,0)</f>
        <v>0</v>
      </c>
    </row>
    <row r="108" spans="1:13" x14ac:dyDescent="0.35">
      <c r="A108" s="4" t="s">
        <v>151</v>
      </c>
      <c r="B108" s="4" t="s">
        <v>51</v>
      </c>
      <c r="C108" s="4" t="s">
        <v>46</v>
      </c>
      <c r="D108" s="16" t="s">
        <v>9</v>
      </c>
      <c r="E108" s="7">
        <v>43879</v>
      </c>
      <c r="F108" s="17">
        <v>91672</v>
      </c>
      <c r="G108" s="4">
        <v>88</v>
      </c>
      <c r="H108" s="16" t="s">
        <v>36</v>
      </c>
      <c r="I108" s="16" t="str">
        <f>_xlfn.TEXTJOIN(" ",TRUE, 'Raw_Employee_Data with Fomulas'!$B108,'Raw_Employee_Data with Fomulas'!$C108)</f>
        <v>James Jones</v>
      </c>
      <c r="J108" s="11" t="str">
        <f>_xlfn.XLOOKUP(D108,Lookup_Departments!A:A,Lookup_Departments!B:B)</f>
        <v>Information Technology</v>
      </c>
      <c r="K108" s="11">
        <f t="shared" ca="1" si="1"/>
        <v>6</v>
      </c>
      <c r="L108" t="str" cm="1">
        <f t="array" ref="L108">_xlfn.IFS(G108&lt;=49,"Needs Improvement",G108&lt;=69,"Developing",G108&lt;=84,"Achieving",G108&lt;=94,"Exceeding",G108&lt;=100,"Outstanding")</f>
        <v>Exceeding</v>
      </c>
      <c r="M108" s="25">
        <f>F108*_xlfn.XLOOKUP(L108,Lookup_Performance!$C$2:$C$6,Lookup_Performance!$D$2:$D$6,0)</f>
        <v>7333.76</v>
      </c>
    </row>
    <row r="109" spans="1:13" x14ac:dyDescent="0.35">
      <c r="A109" s="5" t="s">
        <v>152</v>
      </c>
      <c r="B109" s="5" t="s">
        <v>30</v>
      </c>
      <c r="C109" s="5" t="s">
        <v>15</v>
      </c>
      <c r="D109" s="14" t="s">
        <v>72</v>
      </c>
      <c r="E109" s="7">
        <v>42512</v>
      </c>
      <c r="F109" s="15">
        <v>77737</v>
      </c>
      <c r="G109" s="5">
        <v>77</v>
      </c>
      <c r="H109" s="14" t="s">
        <v>36</v>
      </c>
      <c r="I109" s="14" t="str">
        <f>_xlfn.TEXTJOIN(" ",TRUE, 'Raw_Employee_Data with Fomulas'!$B109,'Raw_Employee_Data with Fomulas'!$C109)</f>
        <v>Jessica Gonzalez</v>
      </c>
      <c r="J109" s="11" t="str">
        <f>_xlfn.XLOOKUP(D109,Lookup_Departments!A:A,Lookup_Departments!B:B)</f>
        <v>Human Resources</v>
      </c>
      <c r="K109" s="11">
        <f t="shared" ca="1" si="1"/>
        <v>10</v>
      </c>
      <c r="L109" t="str" cm="1">
        <f t="array" ref="L109">_xlfn.IFS(G109&lt;=49,"Needs Improvement",G109&lt;=69,"Developing",G109&lt;=84,"Achieving",G109&lt;=94,"Exceeding",G109&lt;=100,"Outstanding")</f>
        <v>Achieving</v>
      </c>
      <c r="M109" s="25">
        <f>F109*_xlfn.XLOOKUP(L109,Lookup_Performance!$C$2:$C$6,Lookup_Performance!$D$2:$D$6,0)</f>
        <v>3886.8500000000004</v>
      </c>
    </row>
    <row r="110" spans="1:13" x14ac:dyDescent="0.35">
      <c r="A110" s="4" t="s">
        <v>153</v>
      </c>
      <c r="B110" s="4" t="s">
        <v>70</v>
      </c>
      <c r="C110" s="4" t="s">
        <v>38</v>
      </c>
      <c r="D110" s="16" t="s">
        <v>35</v>
      </c>
      <c r="E110" s="7">
        <v>44233</v>
      </c>
      <c r="F110" s="17">
        <v>95686</v>
      </c>
      <c r="G110" s="4">
        <v>91</v>
      </c>
      <c r="H110" s="16" t="s">
        <v>36</v>
      </c>
      <c r="I110" s="16" t="str">
        <f>_xlfn.TEXTJOIN(" ",TRUE, 'Raw_Employee_Data with Fomulas'!$B110,'Raw_Employee_Data with Fomulas'!$C110)</f>
        <v>Sarah Miller</v>
      </c>
      <c r="J110" s="11" t="str">
        <f>_xlfn.XLOOKUP(D110,Lookup_Departments!A:A,Lookup_Departments!B:B)</f>
        <v>Sales</v>
      </c>
      <c r="K110" s="11">
        <f t="shared" ca="1" si="1"/>
        <v>5</v>
      </c>
      <c r="L110" t="str" cm="1">
        <f t="array" ref="L110">_xlfn.IFS(G110&lt;=49,"Needs Improvement",G110&lt;=69,"Developing",G110&lt;=84,"Achieving",G110&lt;=94,"Exceeding",G110&lt;=100,"Outstanding")</f>
        <v>Exceeding</v>
      </c>
      <c r="M110" s="25">
        <f>F110*_xlfn.XLOOKUP(L110,Lookup_Performance!$C$2:$C$6,Lookup_Performance!$D$2:$D$6,0)</f>
        <v>7654.88</v>
      </c>
    </row>
    <row r="111" spans="1:13" x14ac:dyDescent="0.35">
      <c r="A111" s="5" t="s">
        <v>154</v>
      </c>
      <c r="B111" s="5" t="s">
        <v>30</v>
      </c>
      <c r="C111" s="5" t="s">
        <v>22</v>
      </c>
      <c r="D111" s="14" t="s">
        <v>35</v>
      </c>
      <c r="E111" s="7">
        <v>44394</v>
      </c>
      <c r="F111" s="15">
        <v>114681</v>
      </c>
      <c r="G111" s="5">
        <v>36</v>
      </c>
      <c r="H111" s="14" t="s">
        <v>36</v>
      </c>
      <c r="I111" s="14" t="str">
        <f>_xlfn.TEXTJOIN(" ",TRUE, 'Raw_Employee_Data with Fomulas'!$B111,'Raw_Employee_Data with Fomulas'!$C111)</f>
        <v>Jessica Smith</v>
      </c>
      <c r="J111" s="11" t="str">
        <f>_xlfn.XLOOKUP(D111,Lookup_Departments!A:A,Lookup_Departments!B:B)</f>
        <v>Sales</v>
      </c>
      <c r="K111" s="11">
        <f t="shared" ca="1" si="1"/>
        <v>4</v>
      </c>
      <c r="L111" t="str" cm="1">
        <f t="array" ref="L111">_xlfn.IFS(G111&lt;=49,"Needs Improvement",G111&lt;=69,"Developing",G111&lt;=84,"Achieving",G111&lt;=94,"Exceeding",G111&lt;=100,"Outstanding")</f>
        <v>Needs Improvement</v>
      </c>
      <c r="M111" s="25">
        <f>F111*_xlfn.XLOOKUP(L111,Lookup_Performance!$C$2:$C$6,Lookup_Performance!$D$2:$D$6,0)</f>
        <v>0</v>
      </c>
    </row>
    <row r="112" spans="1:13" x14ac:dyDescent="0.35">
      <c r="A112" s="4" t="s">
        <v>155</v>
      </c>
      <c r="B112" s="4" t="s">
        <v>21</v>
      </c>
      <c r="C112" s="4" t="s">
        <v>46</v>
      </c>
      <c r="D112" s="16" t="s">
        <v>26</v>
      </c>
      <c r="E112" s="7">
        <v>42687</v>
      </c>
      <c r="F112" s="17">
        <v>109121</v>
      </c>
      <c r="G112" s="4">
        <v>72</v>
      </c>
      <c r="H112" s="16" t="s">
        <v>36</v>
      </c>
      <c r="I112" s="16" t="str">
        <f>_xlfn.TEXTJOIN(" ",TRUE, 'Raw_Employee_Data with Fomulas'!$B112,'Raw_Employee_Data with Fomulas'!$C112)</f>
        <v>Thomas Jones</v>
      </c>
      <c r="J112" s="11" t="str">
        <f>_xlfn.XLOOKUP(D112,Lookup_Departments!A:A,Lookup_Departments!B:B)</f>
        <v>Operations</v>
      </c>
      <c r="K112" s="11">
        <f t="shared" ca="1" si="1"/>
        <v>9</v>
      </c>
      <c r="L112" t="str" cm="1">
        <f t="array" ref="L112">_xlfn.IFS(G112&lt;=49,"Needs Improvement",G112&lt;=69,"Developing",G112&lt;=84,"Achieving",G112&lt;=94,"Exceeding",G112&lt;=100,"Outstanding")</f>
        <v>Achieving</v>
      </c>
      <c r="M112" s="25">
        <f>F112*_xlfn.XLOOKUP(L112,Lookup_Performance!$C$2:$C$6,Lookup_Performance!$D$2:$D$6,0)</f>
        <v>5456.05</v>
      </c>
    </row>
    <row r="113" spans="1:13" x14ac:dyDescent="0.35">
      <c r="A113" s="5" t="s">
        <v>156</v>
      </c>
      <c r="B113" s="5" t="s">
        <v>56</v>
      </c>
      <c r="C113" s="5" t="s">
        <v>8</v>
      </c>
      <c r="D113" s="14" t="s">
        <v>13</v>
      </c>
      <c r="E113" s="7">
        <v>43513</v>
      </c>
      <c r="F113" s="15">
        <v>112791</v>
      </c>
      <c r="G113" s="5">
        <v>87</v>
      </c>
      <c r="H113" s="14" t="s">
        <v>36</v>
      </c>
      <c r="I113" s="14" t="str">
        <f>_xlfn.TEXTJOIN(" ",TRUE, 'Raw_Employee_Data with Fomulas'!$B113,'Raw_Employee_Data with Fomulas'!$C113)</f>
        <v>Amanda Brown</v>
      </c>
      <c r="J113" s="11" t="str">
        <f>_xlfn.XLOOKUP(D113,Lookup_Departments!A:A,Lookup_Departments!B:B)</f>
        <v>Marketing</v>
      </c>
      <c r="K113" s="11">
        <f t="shared" ca="1" si="1"/>
        <v>7</v>
      </c>
      <c r="L113" t="str" cm="1">
        <f t="array" ref="L113">_xlfn.IFS(G113&lt;=49,"Needs Improvement",G113&lt;=69,"Developing",G113&lt;=84,"Achieving",G113&lt;=94,"Exceeding",G113&lt;=100,"Outstanding")</f>
        <v>Exceeding</v>
      </c>
      <c r="M113" s="25">
        <f>F113*_xlfn.XLOOKUP(L113,Lookup_Performance!$C$2:$C$6,Lookup_Performance!$D$2:$D$6,0)</f>
        <v>9023.2800000000007</v>
      </c>
    </row>
    <row r="114" spans="1:13" x14ac:dyDescent="0.35">
      <c r="A114" s="4" t="s">
        <v>157</v>
      </c>
      <c r="B114" s="4" t="s">
        <v>45</v>
      </c>
      <c r="C114" s="4" t="s">
        <v>18</v>
      </c>
      <c r="D114" s="16" t="s">
        <v>9</v>
      </c>
      <c r="E114" s="7">
        <v>42713</v>
      </c>
      <c r="F114" s="17">
        <v>118008</v>
      </c>
      <c r="G114" s="4">
        <v>71</v>
      </c>
      <c r="H114" s="16" t="s">
        <v>36</v>
      </c>
      <c r="I114" s="16" t="str">
        <f>_xlfn.TEXTJOIN(" ",TRUE, 'Raw_Employee_Data with Fomulas'!$B114,'Raw_Employee_Data with Fomulas'!$C114)</f>
        <v>Robert Martinez</v>
      </c>
      <c r="J114" s="11" t="str">
        <f>_xlfn.XLOOKUP(D114,Lookup_Departments!A:A,Lookup_Departments!B:B)</f>
        <v>Information Technology</v>
      </c>
      <c r="K114" s="11">
        <f t="shared" ca="1" si="1"/>
        <v>9</v>
      </c>
      <c r="L114" t="str" cm="1">
        <f t="array" ref="L114">_xlfn.IFS(G114&lt;=49,"Needs Improvement",G114&lt;=69,"Developing",G114&lt;=84,"Achieving",G114&lt;=94,"Exceeding",G114&lt;=100,"Outstanding")</f>
        <v>Achieving</v>
      </c>
      <c r="M114" s="25">
        <f>F114*_xlfn.XLOOKUP(L114,Lookup_Performance!$C$2:$C$6,Lookup_Performance!$D$2:$D$6,0)</f>
        <v>5900.4000000000005</v>
      </c>
    </row>
    <row r="115" spans="1:13" x14ac:dyDescent="0.35">
      <c r="A115" s="5" t="s">
        <v>158</v>
      </c>
      <c r="B115" s="5" t="s">
        <v>21</v>
      </c>
      <c r="C115" s="5" t="s">
        <v>38</v>
      </c>
      <c r="D115" s="14" t="s">
        <v>9</v>
      </c>
      <c r="E115" s="7">
        <v>44421</v>
      </c>
      <c r="F115" s="15">
        <v>74370</v>
      </c>
      <c r="G115" s="5">
        <v>82</v>
      </c>
      <c r="H115" s="14" t="s">
        <v>36</v>
      </c>
      <c r="I115" s="14" t="str">
        <f>_xlfn.TEXTJOIN(" ",TRUE, 'Raw_Employee_Data with Fomulas'!$B115,'Raw_Employee_Data with Fomulas'!$C115)</f>
        <v>Thomas Miller</v>
      </c>
      <c r="J115" s="11" t="str">
        <f>_xlfn.XLOOKUP(D115,Lookup_Departments!A:A,Lookup_Departments!B:B)</f>
        <v>Information Technology</v>
      </c>
      <c r="K115" s="11">
        <f t="shared" ca="1" si="1"/>
        <v>4</v>
      </c>
      <c r="L115" t="str" cm="1">
        <f t="array" ref="L115">_xlfn.IFS(G115&lt;=49,"Needs Improvement",G115&lt;=69,"Developing",G115&lt;=84,"Achieving",G115&lt;=94,"Exceeding",G115&lt;=100,"Outstanding")</f>
        <v>Achieving</v>
      </c>
      <c r="M115" s="25">
        <f>F115*_xlfn.XLOOKUP(L115,Lookup_Performance!$C$2:$C$6,Lookup_Performance!$D$2:$D$6,0)</f>
        <v>3718.5</v>
      </c>
    </row>
    <row r="116" spans="1:13" x14ac:dyDescent="0.35">
      <c r="A116" s="4" t="s">
        <v>159</v>
      </c>
      <c r="B116" s="4" t="s">
        <v>82</v>
      </c>
      <c r="C116" s="4" t="s">
        <v>32</v>
      </c>
      <c r="D116" s="16" t="s">
        <v>9</v>
      </c>
      <c r="E116" s="7">
        <v>43996</v>
      </c>
      <c r="F116" s="17">
        <v>77819</v>
      </c>
      <c r="G116" s="4">
        <v>79</v>
      </c>
      <c r="H116" s="16" t="s">
        <v>36</v>
      </c>
      <c r="I116" s="16" t="str">
        <f>_xlfn.TEXTJOIN(" ",TRUE, 'Raw_Employee_Data with Fomulas'!$B116,'Raw_Employee_Data with Fomulas'!$C116)</f>
        <v>David Rodriguez</v>
      </c>
      <c r="J116" s="11" t="str">
        <f>_xlfn.XLOOKUP(D116,Lookup_Departments!A:A,Lookup_Departments!B:B)</f>
        <v>Information Technology</v>
      </c>
      <c r="K116" s="11">
        <f t="shared" ca="1" si="1"/>
        <v>6</v>
      </c>
      <c r="L116" t="str" cm="1">
        <f t="array" ref="L116">_xlfn.IFS(G116&lt;=49,"Needs Improvement",G116&lt;=69,"Developing",G116&lt;=84,"Achieving",G116&lt;=94,"Exceeding",G116&lt;=100,"Outstanding")</f>
        <v>Achieving</v>
      </c>
      <c r="M116" s="25">
        <f>F116*_xlfn.XLOOKUP(L116,Lookup_Performance!$C$2:$C$6,Lookup_Performance!$D$2:$D$6,0)</f>
        <v>3890.9500000000003</v>
      </c>
    </row>
    <row r="117" spans="1:13" x14ac:dyDescent="0.35">
      <c r="A117" s="5" t="s">
        <v>160</v>
      </c>
      <c r="B117" s="5" t="s">
        <v>41</v>
      </c>
      <c r="C117" s="5" t="s">
        <v>38</v>
      </c>
      <c r="D117" s="14" t="s">
        <v>13</v>
      </c>
      <c r="E117" s="7">
        <v>44747</v>
      </c>
      <c r="F117" s="15">
        <v>48748</v>
      </c>
      <c r="G117" s="5">
        <v>83</v>
      </c>
      <c r="H117" s="14" t="s">
        <v>84</v>
      </c>
      <c r="I117" s="14" t="str">
        <f>_xlfn.TEXTJOIN(" ",TRUE, 'Raw_Employee_Data with Fomulas'!$B117,'Raw_Employee_Data with Fomulas'!$C117)</f>
        <v>Jane Miller</v>
      </c>
      <c r="J117" s="11" t="str">
        <f>_xlfn.XLOOKUP(D117,Lookup_Departments!A:A,Lookup_Departments!B:B)</f>
        <v>Marketing</v>
      </c>
      <c r="K117" s="11">
        <f t="shared" ca="1" si="1"/>
        <v>4</v>
      </c>
      <c r="L117" t="str" cm="1">
        <f t="array" ref="L117">_xlfn.IFS(G117&lt;=49,"Needs Improvement",G117&lt;=69,"Developing",G117&lt;=84,"Achieving",G117&lt;=94,"Exceeding",G117&lt;=100,"Outstanding")</f>
        <v>Achieving</v>
      </c>
      <c r="M117" s="25">
        <f>F117*_xlfn.XLOOKUP(L117,Lookup_Performance!$C$2:$C$6,Lookup_Performance!$D$2:$D$6,0)</f>
        <v>2437.4</v>
      </c>
    </row>
    <row r="118" spans="1:13" x14ac:dyDescent="0.35">
      <c r="A118" s="4" t="s">
        <v>161</v>
      </c>
      <c r="B118" s="4" t="s">
        <v>51</v>
      </c>
      <c r="C118" s="4" t="s">
        <v>32</v>
      </c>
      <c r="D118" s="16" t="s">
        <v>26</v>
      </c>
      <c r="E118" s="7">
        <v>42650</v>
      </c>
      <c r="F118" s="17">
        <v>101997</v>
      </c>
      <c r="G118" s="4">
        <v>38</v>
      </c>
      <c r="H118" s="16" t="s">
        <v>36</v>
      </c>
      <c r="I118" s="16" t="str">
        <f>_xlfn.TEXTJOIN(" ",TRUE, 'Raw_Employee_Data with Fomulas'!$B118,'Raw_Employee_Data with Fomulas'!$C118)</f>
        <v>James Rodriguez</v>
      </c>
      <c r="J118" s="11" t="str">
        <f>_xlfn.XLOOKUP(D118,Lookup_Departments!A:A,Lookup_Departments!B:B)</f>
        <v>Operations</v>
      </c>
      <c r="K118" s="11">
        <f t="shared" ca="1" si="1"/>
        <v>9</v>
      </c>
      <c r="L118" t="str" cm="1">
        <f t="array" ref="L118">_xlfn.IFS(G118&lt;=49,"Needs Improvement",G118&lt;=69,"Developing",G118&lt;=84,"Achieving",G118&lt;=94,"Exceeding",G118&lt;=100,"Outstanding")</f>
        <v>Needs Improvement</v>
      </c>
      <c r="M118" s="25">
        <f>F118*_xlfn.XLOOKUP(L118,Lookup_Performance!$C$2:$C$6,Lookup_Performance!$D$2:$D$6,0)</f>
        <v>0</v>
      </c>
    </row>
    <row r="119" spans="1:13" x14ac:dyDescent="0.35">
      <c r="A119" s="5" t="s">
        <v>162</v>
      </c>
      <c r="B119" s="5" t="s">
        <v>70</v>
      </c>
      <c r="C119" s="5" t="s">
        <v>32</v>
      </c>
      <c r="D119" s="14" t="s">
        <v>72</v>
      </c>
      <c r="E119" s="7">
        <v>44674</v>
      </c>
      <c r="F119" s="15">
        <v>115260</v>
      </c>
      <c r="G119" s="5">
        <v>77</v>
      </c>
      <c r="H119" s="14" t="s">
        <v>36</v>
      </c>
      <c r="I119" s="14" t="str">
        <f>_xlfn.TEXTJOIN(" ",TRUE, 'Raw_Employee_Data with Fomulas'!$B119,'Raw_Employee_Data with Fomulas'!$C119)</f>
        <v>Sarah Rodriguez</v>
      </c>
      <c r="J119" s="11" t="str">
        <f>_xlfn.XLOOKUP(D119,Lookup_Departments!A:A,Lookup_Departments!B:B)</f>
        <v>Human Resources</v>
      </c>
      <c r="K119" s="11">
        <f t="shared" ca="1" si="1"/>
        <v>4</v>
      </c>
      <c r="L119" t="str" cm="1">
        <f t="array" ref="L119">_xlfn.IFS(G119&lt;=49,"Needs Improvement",G119&lt;=69,"Developing",G119&lt;=84,"Achieving",G119&lt;=94,"Exceeding",G119&lt;=100,"Outstanding")</f>
        <v>Achieving</v>
      </c>
      <c r="M119" s="25">
        <f>F119*_xlfn.XLOOKUP(L119,Lookup_Performance!$C$2:$C$6,Lookup_Performance!$D$2:$D$6,0)</f>
        <v>5763</v>
      </c>
    </row>
    <row r="120" spans="1:13" x14ac:dyDescent="0.35">
      <c r="A120" s="4" t="s">
        <v>163</v>
      </c>
      <c r="B120" s="4" t="s">
        <v>70</v>
      </c>
      <c r="C120" s="4" t="s">
        <v>28</v>
      </c>
      <c r="D120" s="16" t="s">
        <v>35</v>
      </c>
      <c r="E120" s="7">
        <v>43013</v>
      </c>
      <c r="F120" s="17">
        <v>82713.429999999993</v>
      </c>
      <c r="G120" s="4">
        <v>49</v>
      </c>
      <c r="H120" s="16" t="s">
        <v>23</v>
      </c>
      <c r="I120" s="16" t="str">
        <f>_xlfn.TEXTJOIN(" ",TRUE, 'Raw_Employee_Data with Fomulas'!$B120,'Raw_Employee_Data with Fomulas'!$C120)</f>
        <v>Sarah Wilson</v>
      </c>
      <c r="J120" s="11" t="str">
        <f>_xlfn.XLOOKUP(D120,Lookup_Departments!A:A,Lookup_Departments!B:B)</f>
        <v>Sales</v>
      </c>
      <c r="K120" s="11">
        <f t="shared" ca="1" si="1"/>
        <v>8</v>
      </c>
      <c r="L120" t="str" cm="1">
        <f t="array" ref="L120">_xlfn.IFS(G120&lt;=49,"Needs Improvement",G120&lt;=69,"Developing",G120&lt;=84,"Achieving",G120&lt;=94,"Exceeding",G120&lt;=100,"Outstanding")</f>
        <v>Needs Improvement</v>
      </c>
      <c r="M120" s="25">
        <f>F120*_xlfn.XLOOKUP(L120,Lookup_Performance!$C$2:$C$6,Lookup_Performance!$D$2:$D$6,0)</f>
        <v>0</v>
      </c>
    </row>
    <row r="121" spans="1:13" x14ac:dyDescent="0.35">
      <c r="A121" s="5" t="s">
        <v>164</v>
      </c>
      <c r="B121" s="5" t="s">
        <v>77</v>
      </c>
      <c r="C121" s="5" t="s">
        <v>8</v>
      </c>
      <c r="D121" s="14" t="s">
        <v>9</v>
      </c>
      <c r="E121" s="7">
        <v>43971</v>
      </c>
      <c r="F121" s="15">
        <v>82713.429999999993</v>
      </c>
      <c r="G121" s="5">
        <v>69</v>
      </c>
      <c r="H121" s="14" t="s">
        <v>36</v>
      </c>
      <c r="I121" s="14" t="str">
        <f>_xlfn.TEXTJOIN(" ",TRUE, 'Raw_Employee_Data with Fomulas'!$B121,'Raw_Employee_Data with Fomulas'!$C121)</f>
        <v>Melissa Brown</v>
      </c>
      <c r="J121" s="11" t="str">
        <f>_xlfn.XLOOKUP(D121,Lookup_Departments!A:A,Lookup_Departments!B:B)</f>
        <v>Information Technology</v>
      </c>
      <c r="K121" s="11">
        <f t="shared" ca="1" si="1"/>
        <v>6</v>
      </c>
      <c r="L121" t="str" cm="1">
        <f t="array" ref="L121">_xlfn.IFS(G121&lt;=49,"Needs Improvement",G121&lt;=69,"Developing",G121&lt;=84,"Achieving",G121&lt;=94,"Exceeding",G121&lt;=100,"Outstanding")</f>
        <v>Developing</v>
      </c>
      <c r="M121" s="25">
        <f>F121*_xlfn.XLOOKUP(L121,Lookup_Performance!$C$2:$C$6,Lookup_Performance!$D$2:$D$6,0)</f>
        <v>1654.2685999999999</v>
      </c>
    </row>
    <row r="122" spans="1:13" x14ac:dyDescent="0.35">
      <c r="A122" s="4" t="s">
        <v>165</v>
      </c>
      <c r="B122" s="4" t="s">
        <v>45</v>
      </c>
      <c r="C122" s="4" t="s">
        <v>42</v>
      </c>
      <c r="D122" s="16" t="s">
        <v>35</v>
      </c>
      <c r="E122" s="7">
        <v>45036</v>
      </c>
      <c r="F122" s="17">
        <v>82713.429999999993</v>
      </c>
      <c r="G122" s="4">
        <v>76</v>
      </c>
      <c r="H122" s="16" t="s">
        <v>36</v>
      </c>
      <c r="I122" s="16" t="str">
        <f>_xlfn.TEXTJOIN(" ",TRUE, 'Raw_Employee_Data with Fomulas'!$B122,'Raw_Employee_Data with Fomulas'!$C122)</f>
        <v>Robert Williams</v>
      </c>
      <c r="J122" s="11" t="str">
        <f>_xlfn.XLOOKUP(D122,Lookup_Departments!A:A,Lookup_Departments!B:B)</f>
        <v>Sales</v>
      </c>
      <c r="K122" s="11">
        <f t="shared" ca="1" si="1"/>
        <v>3</v>
      </c>
      <c r="L122" t="str" cm="1">
        <f t="array" ref="L122">_xlfn.IFS(G122&lt;=49,"Needs Improvement",G122&lt;=69,"Developing",G122&lt;=84,"Achieving",G122&lt;=94,"Exceeding",G122&lt;=100,"Outstanding")</f>
        <v>Achieving</v>
      </c>
      <c r="M122" s="25">
        <f>F122*_xlfn.XLOOKUP(L122,Lookup_Performance!$C$2:$C$6,Lookup_Performance!$D$2:$D$6,0)</f>
        <v>4135.6714999999995</v>
      </c>
    </row>
    <row r="123" spans="1:13" x14ac:dyDescent="0.35">
      <c r="A123" s="5" t="s">
        <v>166</v>
      </c>
      <c r="B123" s="5" t="s">
        <v>77</v>
      </c>
      <c r="C123" s="5" t="s">
        <v>32</v>
      </c>
      <c r="D123" s="14" t="s">
        <v>26</v>
      </c>
      <c r="E123" s="7">
        <v>44500</v>
      </c>
      <c r="F123" s="15">
        <v>60623</v>
      </c>
      <c r="G123" s="5">
        <v>78</v>
      </c>
      <c r="H123" s="14" t="s">
        <v>36</v>
      </c>
      <c r="I123" s="14" t="str">
        <f>_xlfn.TEXTJOIN(" ",TRUE, 'Raw_Employee_Data with Fomulas'!$B123,'Raw_Employee_Data with Fomulas'!$C123)</f>
        <v>Melissa Rodriguez</v>
      </c>
      <c r="J123" s="11" t="str">
        <f>_xlfn.XLOOKUP(D123,Lookup_Departments!A:A,Lookup_Departments!B:B)</f>
        <v>Operations</v>
      </c>
      <c r="K123" s="11">
        <f t="shared" ca="1" si="1"/>
        <v>4</v>
      </c>
      <c r="L123" t="str" cm="1">
        <f t="array" ref="L123">_xlfn.IFS(G123&lt;=49,"Needs Improvement",G123&lt;=69,"Developing",G123&lt;=84,"Achieving",G123&lt;=94,"Exceeding",G123&lt;=100,"Outstanding")</f>
        <v>Achieving</v>
      </c>
      <c r="M123" s="25">
        <f>F123*_xlfn.XLOOKUP(L123,Lookup_Performance!$C$2:$C$6,Lookup_Performance!$D$2:$D$6,0)</f>
        <v>3031.15</v>
      </c>
    </row>
    <row r="124" spans="1:13" x14ac:dyDescent="0.35">
      <c r="A124" s="4" t="s">
        <v>167</v>
      </c>
      <c r="B124" s="4" t="s">
        <v>51</v>
      </c>
      <c r="C124" s="4" t="s">
        <v>25</v>
      </c>
      <c r="D124" s="16" t="s">
        <v>72</v>
      </c>
      <c r="E124" s="7">
        <v>44493</v>
      </c>
      <c r="F124" s="17">
        <v>68092</v>
      </c>
      <c r="G124" s="4">
        <v>93</v>
      </c>
      <c r="H124" s="16" t="s">
        <v>36</v>
      </c>
      <c r="I124" s="16" t="str">
        <f>_xlfn.TEXTJOIN(" ",TRUE, 'Raw_Employee_Data with Fomulas'!$B124,'Raw_Employee_Data with Fomulas'!$C124)</f>
        <v>James Johnson</v>
      </c>
      <c r="J124" s="11" t="str">
        <f>_xlfn.XLOOKUP(D124,Lookup_Departments!A:A,Lookup_Departments!B:B)</f>
        <v>Human Resources</v>
      </c>
      <c r="K124" s="11">
        <f t="shared" ca="1" si="1"/>
        <v>4</v>
      </c>
      <c r="L124" t="str" cm="1">
        <f t="array" ref="L124">_xlfn.IFS(G124&lt;=49,"Needs Improvement",G124&lt;=69,"Developing",G124&lt;=84,"Achieving",G124&lt;=94,"Exceeding",G124&lt;=100,"Outstanding")</f>
        <v>Exceeding</v>
      </c>
      <c r="M124" s="25">
        <f>F124*_xlfn.XLOOKUP(L124,Lookup_Performance!$C$2:$C$6,Lookup_Performance!$D$2:$D$6,0)</f>
        <v>5447.36</v>
      </c>
    </row>
    <row r="125" spans="1:13" x14ac:dyDescent="0.35">
      <c r="A125" s="5" t="s">
        <v>168</v>
      </c>
      <c r="B125" s="5" t="s">
        <v>34</v>
      </c>
      <c r="C125" s="5" t="s">
        <v>28</v>
      </c>
      <c r="D125" s="14" t="s">
        <v>13</v>
      </c>
      <c r="E125" s="7">
        <v>42986</v>
      </c>
      <c r="F125" s="15">
        <v>88155</v>
      </c>
      <c r="G125" s="5">
        <v>68</v>
      </c>
      <c r="H125" s="14" t="s">
        <v>36</v>
      </c>
      <c r="I125" s="14" t="str">
        <f>_xlfn.TEXTJOIN(" ",TRUE, 'Raw_Employee_Data with Fomulas'!$B125,'Raw_Employee_Data with Fomulas'!$C125)</f>
        <v>Michael Wilson</v>
      </c>
      <c r="J125" s="11" t="str">
        <f>_xlfn.XLOOKUP(D125,Lookup_Departments!A:A,Lookup_Departments!B:B)</f>
        <v>Marketing</v>
      </c>
      <c r="K125" s="11">
        <f t="shared" ca="1" si="1"/>
        <v>8</v>
      </c>
      <c r="L125" t="str" cm="1">
        <f t="array" ref="L125">_xlfn.IFS(G125&lt;=49,"Needs Improvement",G125&lt;=69,"Developing",G125&lt;=84,"Achieving",G125&lt;=94,"Exceeding",G125&lt;=100,"Outstanding")</f>
        <v>Developing</v>
      </c>
      <c r="M125" s="25">
        <f>F125*_xlfn.XLOOKUP(L125,Lookup_Performance!$C$2:$C$6,Lookup_Performance!$D$2:$D$6,0)</f>
        <v>1763.1000000000001</v>
      </c>
    </row>
    <row r="126" spans="1:13" x14ac:dyDescent="0.35">
      <c r="A126" s="4" t="s">
        <v>169</v>
      </c>
      <c r="B126" s="4" t="s">
        <v>115</v>
      </c>
      <c r="C126" s="4" t="s">
        <v>46</v>
      </c>
      <c r="D126" s="16" t="s">
        <v>13</v>
      </c>
      <c r="E126" s="7">
        <v>45017</v>
      </c>
      <c r="F126" s="17">
        <v>107903</v>
      </c>
      <c r="G126" s="4">
        <v>42</v>
      </c>
      <c r="H126" s="16" t="s">
        <v>36</v>
      </c>
      <c r="I126" s="16" t="str">
        <f>_xlfn.TEXTJOIN(" ",TRUE, 'Raw_Employee_Data with Fomulas'!$B126,'Raw_Employee_Data with Fomulas'!$C126)</f>
        <v>William Jones</v>
      </c>
      <c r="J126" s="11" t="str">
        <f>_xlfn.XLOOKUP(D126,Lookup_Departments!A:A,Lookup_Departments!B:B)</f>
        <v>Marketing</v>
      </c>
      <c r="K126" s="11">
        <f t="shared" ca="1" si="1"/>
        <v>3</v>
      </c>
      <c r="L126" t="str" cm="1">
        <f t="array" ref="L126">_xlfn.IFS(G126&lt;=49,"Needs Improvement",G126&lt;=69,"Developing",G126&lt;=84,"Achieving",G126&lt;=94,"Exceeding",G126&lt;=100,"Outstanding")</f>
        <v>Needs Improvement</v>
      </c>
      <c r="M126" s="25">
        <f>F126*_xlfn.XLOOKUP(L126,Lookup_Performance!$C$2:$C$6,Lookup_Performance!$D$2:$D$6,0)</f>
        <v>0</v>
      </c>
    </row>
    <row r="127" spans="1:13" x14ac:dyDescent="0.35">
      <c r="A127" s="5" t="s">
        <v>170</v>
      </c>
      <c r="B127" s="5" t="s">
        <v>115</v>
      </c>
      <c r="C127" s="5" t="s">
        <v>42</v>
      </c>
      <c r="D127" s="14" t="s">
        <v>9</v>
      </c>
      <c r="E127" s="7">
        <v>44053</v>
      </c>
      <c r="F127" s="15">
        <v>62818</v>
      </c>
      <c r="G127" s="5">
        <v>34</v>
      </c>
      <c r="H127" s="14" t="s">
        <v>36</v>
      </c>
      <c r="I127" s="14" t="str">
        <f>_xlfn.TEXTJOIN(" ",TRUE, 'Raw_Employee_Data with Fomulas'!$B127,'Raw_Employee_Data with Fomulas'!$C127)</f>
        <v>William Williams</v>
      </c>
      <c r="J127" s="11" t="str">
        <f>_xlfn.XLOOKUP(D127,Lookup_Departments!A:A,Lookup_Departments!B:B)</f>
        <v>Information Technology</v>
      </c>
      <c r="K127" s="11">
        <f t="shared" ca="1" si="1"/>
        <v>5</v>
      </c>
      <c r="L127" t="str" cm="1">
        <f t="array" ref="L127">_xlfn.IFS(G127&lt;=49,"Needs Improvement",G127&lt;=69,"Developing",G127&lt;=84,"Achieving",G127&lt;=94,"Exceeding",G127&lt;=100,"Outstanding")</f>
        <v>Needs Improvement</v>
      </c>
      <c r="M127" s="25">
        <f>F127*_xlfn.XLOOKUP(L127,Lookup_Performance!$C$2:$C$6,Lookup_Performance!$D$2:$D$6,0)</f>
        <v>0</v>
      </c>
    </row>
    <row r="128" spans="1:13" x14ac:dyDescent="0.35">
      <c r="A128" s="4" t="s">
        <v>171</v>
      </c>
      <c r="B128" s="4" t="s">
        <v>82</v>
      </c>
      <c r="C128" s="4" t="s">
        <v>42</v>
      </c>
      <c r="D128" s="16" t="s">
        <v>72</v>
      </c>
      <c r="E128" s="7">
        <v>44596</v>
      </c>
      <c r="F128" s="17">
        <v>85151</v>
      </c>
      <c r="G128" s="4">
        <v>35</v>
      </c>
      <c r="H128" s="16" t="s">
        <v>36</v>
      </c>
      <c r="I128" s="16" t="str">
        <f>_xlfn.TEXTJOIN(" ",TRUE, 'Raw_Employee_Data with Fomulas'!$B128,'Raw_Employee_Data with Fomulas'!$C128)</f>
        <v>David Williams</v>
      </c>
      <c r="J128" s="11" t="str">
        <f>_xlfn.XLOOKUP(D128,Lookup_Departments!A:A,Lookup_Departments!B:B)</f>
        <v>Human Resources</v>
      </c>
      <c r="K128" s="11">
        <f t="shared" ca="1" si="1"/>
        <v>4</v>
      </c>
      <c r="L128" t="str" cm="1">
        <f t="array" ref="L128">_xlfn.IFS(G128&lt;=49,"Needs Improvement",G128&lt;=69,"Developing",G128&lt;=84,"Achieving",G128&lt;=94,"Exceeding",G128&lt;=100,"Outstanding")</f>
        <v>Needs Improvement</v>
      </c>
      <c r="M128" s="25">
        <f>F128*_xlfn.XLOOKUP(L128,Lookup_Performance!$C$2:$C$6,Lookup_Performance!$D$2:$D$6,0)</f>
        <v>0</v>
      </c>
    </row>
    <row r="129" spans="1:13" x14ac:dyDescent="0.35">
      <c r="A129" s="5" t="s">
        <v>172</v>
      </c>
      <c r="B129" s="5" t="s">
        <v>41</v>
      </c>
      <c r="C129" s="5" t="s">
        <v>49</v>
      </c>
      <c r="D129" s="14" t="s">
        <v>19</v>
      </c>
      <c r="E129" s="7">
        <v>43183</v>
      </c>
      <c r="F129" s="15">
        <v>46390</v>
      </c>
      <c r="G129" s="5">
        <v>95</v>
      </c>
      <c r="H129" s="14" t="s">
        <v>23</v>
      </c>
      <c r="I129" s="14" t="str">
        <f>_xlfn.TEXTJOIN(" ",TRUE, 'Raw_Employee_Data with Fomulas'!$B129,'Raw_Employee_Data with Fomulas'!$C129)</f>
        <v>Jane Davis</v>
      </c>
      <c r="J129" s="11" t="str">
        <f>_xlfn.XLOOKUP(D129,Lookup_Departments!A:A,Lookup_Departments!B:B)</f>
        <v>Finance</v>
      </c>
      <c r="K129" s="11">
        <f t="shared" ca="1" si="1"/>
        <v>8</v>
      </c>
      <c r="L129" t="str" cm="1">
        <f t="array" ref="L129">_xlfn.IFS(G129&lt;=49,"Needs Improvement",G129&lt;=69,"Developing",G129&lt;=84,"Achieving",G129&lt;=94,"Exceeding",G129&lt;=100,"Outstanding")</f>
        <v>Outstanding</v>
      </c>
      <c r="M129" s="25">
        <f>F129*_xlfn.XLOOKUP(L129,Lookup_Performance!$C$2:$C$6,Lookup_Performance!$D$2:$D$6,0)</f>
        <v>5566.8</v>
      </c>
    </row>
    <row r="130" spans="1:13" x14ac:dyDescent="0.35">
      <c r="A130" s="4" t="s">
        <v>173</v>
      </c>
      <c r="B130" s="4" t="s">
        <v>17</v>
      </c>
      <c r="C130" s="4" t="s">
        <v>18</v>
      </c>
      <c r="D130" s="16" t="s">
        <v>72</v>
      </c>
      <c r="E130" s="7">
        <v>43305</v>
      </c>
      <c r="F130" s="17">
        <v>111920</v>
      </c>
      <c r="G130" s="4">
        <v>90</v>
      </c>
      <c r="H130" s="16" t="s">
        <v>36</v>
      </c>
      <c r="I130" s="16" t="str">
        <f>_xlfn.TEXTJOIN(" ",TRUE, 'Raw_Employee_Data with Fomulas'!$B130,'Raw_Employee_Data with Fomulas'!$C130)</f>
        <v>John Martinez</v>
      </c>
      <c r="J130" s="11" t="str">
        <f>_xlfn.XLOOKUP(D130,Lookup_Departments!A:A,Lookup_Departments!B:B)</f>
        <v>Human Resources</v>
      </c>
      <c r="K130" s="11">
        <f t="shared" ca="1" si="1"/>
        <v>7</v>
      </c>
      <c r="L130" t="str" cm="1">
        <f t="array" ref="L130">_xlfn.IFS(G130&lt;=49,"Needs Improvement",G130&lt;=69,"Developing",G130&lt;=84,"Achieving",G130&lt;=94,"Exceeding",G130&lt;=100,"Outstanding")</f>
        <v>Exceeding</v>
      </c>
      <c r="M130" s="25">
        <f>F130*_xlfn.XLOOKUP(L130,Lookup_Performance!$C$2:$C$6,Lookup_Performance!$D$2:$D$6,0)</f>
        <v>8953.6</v>
      </c>
    </row>
    <row r="131" spans="1:13" x14ac:dyDescent="0.35">
      <c r="A131" s="5" t="s">
        <v>174</v>
      </c>
      <c r="B131" s="5" t="s">
        <v>82</v>
      </c>
      <c r="C131" s="5" t="s">
        <v>99</v>
      </c>
      <c r="D131" s="14" t="s">
        <v>72</v>
      </c>
      <c r="E131" s="7">
        <v>43301</v>
      </c>
      <c r="F131" s="15">
        <v>115618</v>
      </c>
      <c r="G131" s="5">
        <v>42</v>
      </c>
      <c r="H131" s="14" t="s">
        <v>84</v>
      </c>
      <c r="I131" s="14" t="str">
        <f>_xlfn.TEXTJOIN(" ",TRUE, 'Raw_Employee_Data with Fomulas'!$B131,'Raw_Employee_Data with Fomulas'!$C131)</f>
        <v>David Anderson</v>
      </c>
      <c r="J131" s="11" t="str">
        <f>_xlfn.XLOOKUP(D131,Lookup_Departments!A:A,Lookup_Departments!B:B)</f>
        <v>Human Resources</v>
      </c>
      <c r="K131" s="11">
        <f t="shared" ref="K131:K151" ca="1" si="2">DATEDIF(E131,TODAY(),"Y")</f>
        <v>7</v>
      </c>
      <c r="L131" t="str" cm="1">
        <f t="array" ref="L131">_xlfn.IFS(G131&lt;=49,"Needs Improvement",G131&lt;=69,"Developing",G131&lt;=84,"Achieving",G131&lt;=94,"Exceeding",G131&lt;=100,"Outstanding")</f>
        <v>Needs Improvement</v>
      </c>
      <c r="M131" s="25">
        <f>F131*_xlfn.XLOOKUP(L131,Lookup_Performance!$C$2:$C$6,Lookup_Performance!$D$2:$D$6,0)</f>
        <v>0</v>
      </c>
    </row>
    <row r="132" spans="1:13" x14ac:dyDescent="0.35">
      <c r="A132" s="4" t="s">
        <v>175</v>
      </c>
      <c r="B132" s="4" t="s">
        <v>70</v>
      </c>
      <c r="C132" s="4" t="s">
        <v>22</v>
      </c>
      <c r="D132" s="16" t="s">
        <v>35</v>
      </c>
      <c r="E132" s="7">
        <v>42433</v>
      </c>
      <c r="F132" s="17">
        <v>110618</v>
      </c>
      <c r="G132" s="4">
        <v>88</v>
      </c>
      <c r="H132" s="16" t="s">
        <v>23</v>
      </c>
      <c r="I132" s="16" t="str">
        <f>_xlfn.TEXTJOIN(" ",TRUE, 'Raw_Employee_Data with Fomulas'!$B132,'Raw_Employee_Data with Fomulas'!$C132)</f>
        <v>Sarah Smith</v>
      </c>
      <c r="J132" s="11" t="str">
        <f>_xlfn.XLOOKUP(D132,Lookup_Departments!A:A,Lookup_Departments!B:B)</f>
        <v>Sales</v>
      </c>
      <c r="K132" s="11">
        <f t="shared" ca="1" si="2"/>
        <v>10</v>
      </c>
      <c r="L132" t="str" cm="1">
        <f t="array" ref="L132">_xlfn.IFS(G132&lt;=49,"Needs Improvement",G132&lt;=69,"Developing",G132&lt;=84,"Achieving",G132&lt;=94,"Exceeding",G132&lt;=100,"Outstanding")</f>
        <v>Exceeding</v>
      </c>
      <c r="M132" s="25">
        <f>F132*_xlfn.XLOOKUP(L132,Lookup_Performance!$C$2:$C$6,Lookup_Performance!$D$2:$D$6,0)</f>
        <v>8849.44</v>
      </c>
    </row>
    <row r="133" spans="1:13" x14ac:dyDescent="0.35">
      <c r="A133" s="5" t="s">
        <v>176</v>
      </c>
      <c r="B133" s="5" t="s">
        <v>77</v>
      </c>
      <c r="C133" s="5" t="s">
        <v>12</v>
      </c>
      <c r="D133" s="14" t="s">
        <v>26</v>
      </c>
      <c r="E133" s="7">
        <v>42330</v>
      </c>
      <c r="F133" s="15">
        <v>108395</v>
      </c>
      <c r="G133" s="5">
        <v>78</v>
      </c>
      <c r="H133" s="14" t="s">
        <v>36</v>
      </c>
      <c r="I133" s="14" t="str">
        <f>_xlfn.TEXTJOIN(" ",TRUE, 'Raw_Employee_Data with Fomulas'!$B133,'Raw_Employee_Data with Fomulas'!$C133)</f>
        <v>Melissa Hernandez</v>
      </c>
      <c r="J133" s="11" t="str">
        <f>_xlfn.XLOOKUP(D133,Lookup_Departments!A:A,Lookup_Departments!B:B)</f>
        <v>Operations</v>
      </c>
      <c r="K133" s="11">
        <f t="shared" ca="1" si="2"/>
        <v>10</v>
      </c>
      <c r="L133" t="str" cm="1">
        <f t="array" ref="L133">_xlfn.IFS(G133&lt;=49,"Needs Improvement",G133&lt;=69,"Developing",G133&lt;=84,"Achieving",G133&lt;=94,"Exceeding",G133&lt;=100,"Outstanding")</f>
        <v>Achieving</v>
      </c>
      <c r="M133" s="25">
        <f>F133*_xlfn.XLOOKUP(L133,Lookup_Performance!$C$2:$C$6,Lookup_Performance!$D$2:$D$6,0)</f>
        <v>5419.75</v>
      </c>
    </row>
    <row r="134" spans="1:13" x14ac:dyDescent="0.35">
      <c r="A134" s="4" t="s">
        <v>177</v>
      </c>
      <c r="B134" s="4" t="s">
        <v>77</v>
      </c>
      <c r="C134" s="4" t="s">
        <v>25</v>
      </c>
      <c r="D134" s="16" t="s">
        <v>19</v>
      </c>
      <c r="E134" s="7">
        <v>44643</v>
      </c>
      <c r="F134" s="17">
        <v>88005</v>
      </c>
      <c r="G134" s="4">
        <v>69</v>
      </c>
      <c r="H134" s="16" t="s">
        <v>36</v>
      </c>
      <c r="I134" s="16" t="str">
        <f>_xlfn.TEXTJOIN(" ",TRUE, 'Raw_Employee_Data with Fomulas'!$B134,'Raw_Employee_Data with Fomulas'!$C134)</f>
        <v>Melissa Johnson</v>
      </c>
      <c r="J134" s="11" t="str">
        <f>_xlfn.XLOOKUP(D134,Lookup_Departments!A:A,Lookup_Departments!B:B)</f>
        <v>Finance</v>
      </c>
      <c r="K134" s="11">
        <f t="shared" ca="1" si="2"/>
        <v>4</v>
      </c>
      <c r="L134" t="str" cm="1">
        <f t="array" ref="L134">_xlfn.IFS(G134&lt;=49,"Needs Improvement",G134&lt;=69,"Developing",G134&lt;=84,"Achieving",G134&lt;=94,"Exceeding",G134&lt;=100,"Outstanding")</f>
        <v>Developing</v>
      </c>
      <c r="M134" s="25">
        <f>F134*_xlfn.XLOOKUP(L134,Lookup_Performance!$C$2:$C$6,Lookup_Performance!$D$2:$D$6,0)</f>
        <v>1760.1000000000001</v>
      </c>
    </row>
    <row r="135" spans="1:13" x14ac:dyDescent="0.35">
      <c r="A135" s="5" t="s">
        <v>178</v>
      </c>
      <c r="B135" s="5" t="s">
        <v>41</v>
      </c>
      <c r="C135" s="5" t="s">
        <v>97</v>
      </c>
      <c r="D135" s="14" t="s">
        <v>13</v>
      </c>
      <c r="E135" s="7">
        <v>42944</v>
      </c>
      <c r="F135" s="15">
        <v>83007</v>
      </c>
      <c r="G135" s="5">
        <v>82</v>
      </c>
      <c r="H135" s="14" t="s">
        <v>36</v>
      </c>
      <c r="I135" s="14" t="str">
        <f>_xlfn.TEXTJOIN(" ",TRUE, 'Raw_Employee_Data with Fomulas'!$B135,'Raw_Employee_Data with Fomulas'!$C135)</f>
        <v>Jane Garcia</v>
      </c>
      <c r="J135" s="11" t="str">
        <f>_xlfn.XLOOKUP(D135,Lookup_Departments!A:A,Lookup_Departments!B:B)</f>
        <v>Marketing</v>
      </c>
      <c r="K135" s="11">
        <f t="shared" ca="1" si="2"/>
        <v>8</v>
      </c>
      <c r="L135" t="str" cm="1">
        <f t="array" ref="L135">_xlfn.IFS(G135&lt;=49,"Needs Improvement",G135&lt;=69,"Developing",G135&lt;=84,"Achieving",G135&lt;=94,"Exceeding",G135&lt;=100,"Outstanding")</f>
        <v>Achieving</v>
      </c>
      <c r="M135" s="25">
        <f>F135*_xlfn.XLOOKUP(L135,Lookup_Performance!$C$2:$C$6,Lookup_Performance!$D$2:$D$6,0)</f>
        <v>4150.3500000000004</v>
      </c>
    </row>
    <row r="136" spans="1:13" x14ac:dyDescent="0.35">
      <c r="A136" s="4" t="s">
        <v>179</v>
      </c>
      <c r="B136" s="4" t="s">
        <v>82</v>
      </c>
      <c r="C136" s="4" t="s">
        <v>49</v>
      </c>
      <c r="D136" s="16" t="s">
        <v>9</v>
      </c>
      <c r="E136" s="7">
        <v>45235</v>
      </c>
      <c r="F136" s="17">
        <v>61547</v>
      </c>
      <c r="G136" s="4">
        <v>68</v>
      </c>
      <c r="H136" s="16" t="s">
        <v>36</v>
      </c>
      <c r="I136" s="16" t="str">
        <f>_xlfn.TEXTJOIN(" ",TRUE, 'Raw_Employee_Data with Fomulas'!$B136,'Raw_Employee_Data with Fomulas'!$C136)</f>
        <v>David Davis</v>
      </c>
      <c r="J136" s="11" t="str">
        <f>_xlfn.XLOOKUP(D136,Lookup_Departments!A:A,Lookup_Departments!B:B)</f>
        <v>Information Technology</v>
      </c>
      <c r="K136" s="11">
        <f t="shared" ca="1" si="2"/>
        <v>2</v>
      </c>
      <c r="L136" t="str" cm="1">
        <f t="array" ref="L136">_xlfn.IFS(G136&lt;=49,"Needs Improvement",G136&lt;=69,"Developing",G136&lt;=84,"Achieving",G136&lt;=94,"Exceeding",G136&lt;=100,"Outstanding")</f>
        <v>Developing</v>
      </c>
      <c r="M136" s="25">
        <f>F136*_xlfn.XLOOKUP(L136,Lookup_Performance!$C$2:$C$6,Lookup_Performance!$D$2:$D$6,0)</f>
        <v>1230.94</v>
      </c>
    </row>
    <row r="137" spans="1:13" x14ac:dyDescent="0.35">
      <c r="A137" s="5" t="s">
        <v>180</v>
      </c>
      <c r="B137" s="5" t="s">
        <v>51</v>
      </c>
      <c r="C137" s="5" t="s">
        <v>28</v>
      </c>
      <c r="D137" s="14" t="s">
        <v>35</v>
      </c>
      <c r="E137" s="7">
        <v>44639</v>
      </c>
      <c r="F137" s="15">
        <v>82713.429999999993</v>
      </c>
      <c r="G137" s="5">
        <v>52</v>
      </c>
      <c r="H137" s="14" t="s">
        <v>23</v>
      </c>
      <c r="I137" s="14" t="str">
        <f>_xlfn.TEXTJOIN(" ",TRUE, 'Raw_Employee_Data with Fomulas'!$B137,'Raw_Employee_Data with Fomulas'!$C137)</f>
        <v>James Wilson</v>
      </c>
      <c r="J137" s="11" t="str">
        <f>_xlfn.XLOOKUP(D137,Lookup_Departments!A:A,Lookup_Departments!B:B)</f>
        <v>Sales</v>
      </c>
      <c r="K137" s="11">
        <f t="shared" ca="1" si="2"/>
        <v>4</v>
      </c>
      <c r="L137" t="str" cm="1">
        <f t="array" ref="L137">_xlfn.IFS(G137&lt;=49,"Needs Improvement",G137&lt;=69,"Developing",G137&lt;=84,"Achieving",G137&lt;=94,"Exceeding",G137&lt;=100,"Outstanding")</f>
        <v>Developing</v>
      </c>
      <c r="M137" s="25">
        <f>F137*_xlfn.XLOOKUP(L137,Lookup_Performance!$C$2:$C$6,Lookup_Performance!$D$2:$D$6,0)</f>
        <v>1654.2685999999999</v>
      </c>
    </row>
    <row r="138" spans="1:13" x14ac:dyDescent="0.35">
      <c r="A138" s="4" t="s">
        <v>181</v>
      </c>
      <c r="B138" s="4" t="s">
        <v>11</v>
      </c>
      <c r="C138" s="4" t="s">
        <v>25</v>
      </c>
      <c r="D138" s="16" t="s">
        <v>26</v>
      </c>
      <c r="E138" s="7">
        <v>43091</v>
      </c>
      <c r="F138" s="17">
        <v>50399</v>
      </c>
      <c r="G138" s="4">
        <v>92</v>
      </c>
      <c r="H138" s="16" t="s">
        <v>36</v>
      </c>
      <c r="I138" s="16" t="str">
        <f>_xlfn.TEXTJOIN(" ",TRUE, 'Raw_Employee_Data with Fomulas'!$B138,'Raw_Employee_Data with Fomulas'!$C138)</f>
        <v>Richard Johnson</v>
      </c>
      <c r="J138" s="11" t="str">
        <f>_xlfn.XLOOKUP(D138,Lookup_Departments!A:A,Lookup_Departments!B:B)</f>
        <v>Operations</v>
      </c>
      <c r="K138" s="11">
        <f t="shared" ca="1" si="2"/>
        <v>8</v>
      </c>
      <c r="L138" t="str" cm="1">
        <f t="array" ref="L138">_xlfn.IFS(G138&lt;=49,"Needs Improvement",G138&lt;=69,"Developing",G138&lt;=84,"Achieving",G138&lt;=94,"Exceeding",G138&lt;=100,"Outstanding")</f>
        <v>Exceeding</v>
      </c>
      <c r="M138" s="25">
        <f>F138*_xlfn.XLOOKUP(L138,Lookup_Performance!$C$2:$C$6,Lookup_Performance!$D$2:$D$6,0)</f>
        <v>4031.92</v>
      </c>
    </row>
    <row r="139" spans="1:13" x14ac:dyDescent="0.35">
      <c r="A139" s="5" t="s">
        <v>182</v>
      </c>
      <c r="B139" s="5" t="s">
        <v>11</v>
      </c>
      <c r="C139" s="5" t="s">
        <v>42</v>
      </c>
      <c r="D139" s="14" t="s">
        <v>19</v>
      </c>
      <c r="E139" s="7">
        <v>43233</v>
      </c>
      <c r="F139" s="15">
        <v>82713.429999999993</v>
      </c>
      <c r="G139" s="5">
        <v>62</v>
      </c>
      <c r="H139" s="14" t="s">
        <v>36</v>
      </c>
      <c r="I139" s="14" t="str">
        <f>_xlfn.TEXTJOIN(" ",TRUE, 'Raw_Employee_Data with Fomulas'!$B139,'Raw_Employee_Data with Fomulas'!$C139)</f>
        <v>Richard Williams</v>
      </c>
      <c r="J139" s="11" t="str">
        <f>_xlfn.XLOOKUP(D139,Lookup_Departments!A:A,Lookup_Departments!B:B)</f>
        <v>Finance</v>
      </c>
      <c r="K139" s="11">
        <f t="shared" ca="1" si="2"/>
        <v>8</v>
      </c>
      <c r="L139" t="str" cm="1">
        <f t="array" ref="L139">_xlfn.IFS(G139&lt;=49,"Needs Improvement",G139&lt;=69,"Developing",G139&lt;=84,"Achieving",G139&lt;=94,"Exceeding",G139&lt;=100,"Outstanding")</f>
        <v>Developing</v>
      </c>
      <c r="M139" s="25">
        <f>F139*_xlfn.XLOOKUP(L139,Lookup_Performance!$C$2:$C$6,Lookup_Performance!$D$2:$D$6,0)</f>
        <v>1654.2685999999999</v>
      </c>
    </row>
    <row r="140" spans="1:13" x14ac:dyDescent="0.35">
      <c r="A140" s="4" t="s">
        <v>183</v>
      </c>
      <c r="B140" s="4" t="s">
        <v>17</v>
      </c>
      <c r="C140" s="4" t="s">
        <v>12</v>
      </c>
      <c r="D140" s="16" t="s">
        <v>26</v>
      </c>
      <c r="E140" s="7">
        <v>44437</v>
      </c>
      <c r="F140" s="17">
        <v>52720</v>
      </c>
      <c r="G140" s="4">
        <v>68</v>
      </c>
      <c r="H140" s="16" t="s">
        <v>36</v>
      </c>
      <c r="I140" s="16" t="str">
        <f>_xlfn.TEXTJOIN(" ",TRUE, 'Raw_Employee_Data with Fomulas'!$B140,'Raw_Employee_Data with Fomulas'!$C140)</f>
        <v>John Hernandez</v>
      </c>
      <c r="J140" s="11" t="str">
        <f>_xlfn.XLOOKUP(D140,Lookup_Departments!A:A,Lookup_Departments!B:B)</f>
        <v>Operations</v>
      </c>
      <c r="K140" s="11">
        <f t="shared" ca="1" si="2"/>
        <v>4</v>
      </c>
      <c r="L140" t="str" cm="1">
        <f t="array" ref="L140">_xlfn.IFS(G140&lt;=49,"Needs Improvement",G140&lt;=69,"Developing",G140&lt;=84,"Achieving",G140&lt;=94,"Exceeding",G140&lt;=100,"Outstanding")</f>
        <v>Developing</v>
      </c>
      <c r="M140" s="25">
        <f>F140*_xlfn.XLOOKUP(L140,Lookup_Performance!$C$2:$C$6,Lookup_Performance!$D$2:$D$6,0)</f>
        <v>1054.4000000000001</v>
      </c>
    </row>
    <row r="141" spans="1:13" x14ac:dyDescent="0.35">
      <c r="A141" s="5" t="s">
        <v>184</v>
      </c>
      <c r="B141" s="5" t="s">
        <v>70</v>
      </c>
      <c r="C141" s="5" t="s">
        <v>15</v>
      </c>
      <c r="D141" s="14" t="s">
        <v>26</v>
      </c>
      <c r="E141" s="7">
        <v>43360</v>
      </c>
      <c r="F141" s="15">
        <v>65065</v>
      </c>
      <c r="G141" s="5">
        <v>98</v>
      </c>
      <c r="H141" s="14" t="s">
        <v>84</v>
      </c>
      <c r="I141" s="14" t="str">
        <f>_xlfn.TEXTJOIN(" ",TRUE, 'Raw_Employee_Data with Fomulas'!$B141,'Raw_Employee_Data with Fomulas'!$C141)</f>
        <v>Sarah Gonzalez</v>
      </c>
      <c r="J141" s="11" t="str">
        <f>_xlfn.XLOOKUP(D141,Lookup_Departments!A:A,Lookup_Departments!B:B)</f>
        <v>Operations</v>
      </c>
      <c r="K141" s="11">
        <f t="shared" ca="1" si="2"/>
        <v>7</v>
      </c>
      <c r="L141" t="str" cm="1">
        <f t="array" ref="L141">_xlfn.IFS(G141&lt;=49,"Needs Improvement",G141&lt;=69,"Developing",G141&lt;=84,"Achieving",G141&lt;=94,"Exceeding",G141&lt;=100,"Outstanding")</f>
        <v>Outstanding</v>
      </c>
      <c r="M141" s="25">
        <f>F141*_xlfn.XLOOKUP(L141,Lookup_Performance!$C$2:$C$6,Lookup_Performance!$D$2:$D$6,0)</f>
        <v>7807.7999999999993</v>
      </c>
    </row>
    <row r="142" spans="1:13" x14ac:dyDescent="0.35">
      <c r="A142" s="4" t="s">
        <v>185</v>
      </c>
      <c r="B142" s="4" t="s">
        <v>77</v>
      </c>
      <c r="C142" s="4" t="s">
        <v>12</v>
      </c>
      <c r="D142" s="16" t="s">
        <v>35</v>
      </c>
      <c r="E142" s="7">
        <v>44375</v>
      </c>
      <c r="F142" s="17">
        <v>82713.429999999993</v>
      </c>
      <c r="G142" s="4">
        <v>94</v>
      </c>
      <c r="H142" s="16" t="s">
        <v>84</v>
      </c>
      <c r="I142" s="16" t="str">
        <f>_xlfn.TEXTJOIN(" ",TRUE, 'Raw_Employee_Data with Fomulas'!$B142,'Raw_Employee_Data with Fomulas'!$C142)</f>
        <v>Melissa Hernandez</v>
      </c>
      <c r="J142" s="11" t="str">
        <f>_xlfn.XLOOKUP(D142,Lookup_Departments!A:A,Lookup_Departments!B:B)</f>
        <v>Sales</v>
      </c>
      <c r="K142" s="11">
        <f t="shared" ca="1" si="2"/>
        <v>5</v>
      </c>
      <c r="L142" t="str" cm="1">
        <f t="array" ref="L142">_xlfn.IFS(G142&lt;=49,"Needs Improvement",G142&lt;=69,"Developing",G142&lt;=84,"Achieving",G142&lt;=94,"Exceeding",G142&lt;=100,"Outstanding")</f>
        <v>Exceeding</v>
      </c>
      <c r="M142" s="25">
        <f>F142*_xlfn.XLOOKUP(L142,Lookup_Performance!$C$2:$C$6,Lookup_Performance!$D$2:$D$6,0)</f>
        <v>6617.0743999999995</v>
      </c>
    </row>
    <row r="143" spans="1:13" x14ac:dyDescent="0.35">
      <c r="A143" s="5" t="s">
        <v>186</v>
      </c>
      <c r="B143" s="5" t="s">
        <v>77</v>
      </c>
      <c r="C143" s="5" t="s">
        <v>12</v>
      </c>
      <c r="D143" s="14" t="s">
        <v>26</v>
      </c>
      <c r="E143" s="7">
        <v>43011</v>
      </c>
      <c r="F143" s="15">
        <v>108119</v>
      </c>
      <c r="G143" s="5">
        <v>57</v>
      </c>
      <c r="H143" s="14" t="s">
        <v>36</v>
      </c>
      <c r="I143" s="14" t="str">
        <f>_xlfn.TEXTJOIN(" ",TRUE, 'Raw_Employee_Data with Fomulas'!$B143,'Raw_Employee_Data with Fomulas'!$C143)</f>
        <v>Melissa Hernandez</v>
      </c>
      <c r="J143" s="11" t="str">
        <f>_xlfn.XLOOKUP(D143,Lookup_Departments!A:A,Lookup_Departments!B:B)</f>
        <v>Operations</v>
      </c>
      <c r="K143" s="11">
        <f t="shared" ca="1" si="2"/>
        <v>8</v>
      </c>
      <c r="L143" t="str" cm="1">
        <f t="array" ref="L143">_xlfn.IFS(G143&lt;=49,"Needs Improvement",G143&lt;=69,"Developing",G143&lt;=84,"Achieving",G143&lt;=94,"Exceeding",G143&lt;=100,"Outstanding")</f>
        <v>Developing</v>
      </c>
      <c r="M143" s="25">
        <f>F143*_xlfn.XLOOKUP(L143,Lookup_Performance!$C$2:$C$6,Lookup_Performance!$D$2:$D$6,0)</f>
        <v>2162.38</v>
      </c>
    </row>
    <row r="144" spans="1:13" x14ac:dyDescent="0.35">
      <c r="A144" s="4" t="s">
        <v>187</v>
      </c>
      <c r="B144" s="4" t="s">
        <v>17</v>
      </c>
      <c r="C144" s="4" t="s">
        <v>49</v>
      </c>
      <c r="D144" s="16" t="s">
        <v>9</v>
      </c>
      <c r="E144" s="7">
        <v>42299</v>
      </c>
      <c r="F144" s="17">
        <v>82713.429999999993</v>
      </c>
      <c r="G144" s="4">
        <v>96</v>
      </c>
      <c r="H144" s="16" t="s">
        <v>23</v>
      </c>
      <c r="I144" s="16" t="str">
        <f>_xlfn.TEXTJOIN(" ",TRUE, 'Raw_Employee_Data with Fomulas'!$B144,'Raw_Employee_Data with Fomulas'!$C144)</f>
        <v>John Davis</v>
      </c>
      <c r="J144" s="11" t="str">
        <f>_xlfn.XLOOKUP(D144,Lookup_Departments!A:A,Lookup_Departments!B:B)</f>
        <v>Information Technology</v>
      </c>
      <c r="K144" s="11">
        <f t="shared" ca="1" si="2"/>
        <v>10</v>
      </c>
      <c r="L144" t="str" cm="1">
        <f t="array" ref="L144">_xlfn.IFS(G144&lt;=49,"Needs Improvement",G144&lt;=69,"Developing",G144&lt;=84,"Achieving",G144&lt;=94,"Exceeding",G144&lt;=100,"Outstanding")</f>
        <v>Outstanding</v>
      </c>
      <c r="M144" s="25">
        <f>F144*_xlfn.XLOOKUP(L144,Lookup_Performance!$C$2:$C$6,Lookup_Performance!$D$2:$D$6,0)</f>
        <v>9925.6115999999984</v>
      </c>
    </row>
    <row r="145" spans="1:13" x14ac:dyDescent="0.35">
      <c r="A145" s="5" t="s">
        <v>188</v>
      </c>
      <c r="B145" s="5" t="s">
        <v>11</v>
      </c>
      <c r="C145" s="5" t="s">
        <v>49</v>
      </c>
      <c r="D145" s="14" t="s">
        <v>72</v>
      </c>
      <c r="E145" s="7">
        <v>43257</v>
      </c>
      <c r="F145" s="15">
        <v>106896</v>
      </c>
      <c r="G145" s="5">
        <v>52</v>
      </c>
      <c r="H145" s="14" t="s">
        <v>36</v>
      </c>
      <c r="I145" s="14" t="str">
        <f>_xlfn.TEXTJOIN(" ",TRUE, 'Raw_Employee_Data with Fomulas'!$B145,'Raw_Employee_Data with Fomulas'!$C145)</f>
        <v>Richard Davis</v>
      </c>
      <c r="J145" s="11" t="str">
        <f>_xlfn.XLOOKUP(D145,Lookup_Departments!A:A,Lookup_Departments!B:B)</f>
        <v>Human Resources</v>
      </c>
      <c r="K145" s="11">
        <f t="shared" ca="1" si="2"/>
        <v>8</v>
      </c>
      <c r="L145" t="str" cm="1">
        <f t="array" ref="L145">_xlfn.IFS(G145&lt;=49,"Needs Improvement",G145&lt;=69,"Developing",G145&lt;=84,"Achieving",G145&lt;=94,"Exceeding",G145&lt;=100,"Outstanding")</f>
        <v>Developing</v>
      </c>
      <c r="M145" s="25">
        <f>F145*_xlfn.XLOOKUP(L145,Lookup_Performance!$C$2:$C$6,Lookup_Performance!$D$2:$D$6,0)</f>
        <v>2137.92</v>
      </c>
    </row>
    <row r="146" spans="1:13" x14ac:dyDescent="0.35">
      <c r="A146" s="4" t="s">
        <v>189</v>
      </c>
      <c r="B146" s="4" t="s">
        <v>7</v>
      </c>
      <c r="C146" s="4" t="s">
        <v>46</v>
      </c>
      <c r="D146" s="16" t="s">
        <v>9</v>
      </c>
      <c r="E146" s="7">
        <v>42932</v>
      </c>
      <c r="F146" s="17">
        <v>112887</v>
      </c>
      <c r="G146" s="4">
        <v>59</v>
      </c>
      <c r="H146" s="16" t="s">
        <v>36</v>
      </c>
      <c r="I146" s="16" t="str">
        <f>_xlfn.TEXTJOIN(" ",TRUE, 'Raw_Employee_Data with Fomulas'!$B146,'Raw_Employee_Data with Fomulas'!$C146)</f>
        <v>Emily Jones</v>
      </c>
      <c r="J146" s="11" t="str">
        <f>_xlfn.XLOOKUP(D146,Lookup_Departments!A:A,Lookup_Departments!B:B)</f>
        <v>Information Technology</v>
      </c>
      <c r="K146" s="11">
        <f t="shared" ca="1" si="2"/>
        <v>8</v>
      </c>
      <c r="L146" t="str" cm="1">
        <f t="array" ref="L146">_xlfn.IFS(G146&lt;=49,"Needs Improvement",G146&lt;=69,"Developing",G146&lt;=84,"Achieving",G146&lt;=94,"Exceeding",G146&lt;=100,"Outstanding")</f>
        <v>Developing</v>
      </c>
      <c r="M146" s="25">
        <f>F146*_xlfn.XLOOKUP(L146,Lookup_Performance!$C$2:$C$6,Lookup_Performance!$D$2:$D$6,0)</f>
        <v>2257.7400000000002</v>
      </c>
    </row>
    <row r="147" spans="1:13" x14ac:dyDescent="0.35">
      <c r="A147" s="5" t="s">
        <v>190</v>
      </c>
      <c r="B147" s="5" t="s">
        <v>115</v>
      </c>
      <c r="C147" s="5" t="s">
        <v>32</v>
      </c>
      <c r="D147" s="14" t="s">
        <v>19</v>
      </c>
      <c r="E147" s="7">
        <v>42175</v>
      </c>
      <c r="F147" s="15">
        <v>85457</v>
      </c>
      <c r="G147" s="5">
        <v>79</v>
      </c>
      <c r="H147" s="14" t="s">
        <v>36</v>
      </c>
      <c r="I147" s="14" t="str">
        <f>_xlfn.TEXTJOIN(" ",TRUE, 'Raw_Employee_Data with Fomulas'!$B147,'Raw_Employee_Data with Fomulas'!$C147)</f>
        <v>William Rodriguez</v>
      </c>
      <c r="J147" s="11" t="str">
        <f>_xlfn.XLOOKUP(D147,Lookup_Departments!A:A,Lookup_Departments!B:B)</f>
        <v>Finance</v>
      </c>
      <c r="K147" s="11">
        <f t="shared" ca="1" si="2"/>
        <v>11</v>
      </c>
      <c r="L147" t="str" cm="1">
        <f t="array" ref="L147">_xlfn.IFS(G147&lt;=49,"Needs Improvement",G147&lt;=69,"Developing",G147&lt;=84,"Achieving",G147&lt;=94,"Exceeding",G147&lt;=100,"Outstanding")</f>
        <v>Achieving</v>
      </c>
      <c r="M147" s="25">
        <f>F147*_xlfn.XLOOKUP(L147,Lookup_Performance!$C$2:$C$6,Lookup_Performance!$D$2:$D$6,0)</f>
        <v>4272.8500000000004</v>
      </c>
    </row>
    <row r="148" spans="1:13" x14ac:dyDescent="0.35">
      <c r="A148" s="4" t="s">
        <v>191</v>
      </c>
      <c r="B148" s="4" t="s">
        <v>77</v>
      </c>
      <c r="C148" s="4" t="s">
        <v>38</v>
      </c>
      <c r="D148" s="16" t="s">
        <v>35</v>
      </c>
      <c r="E148" s="7">
        <v>43609</v>
      </c>
      <c r="F148" s="17">
        <v>62798</v>
      </c>
      <c r="G148" s="4">
        <v>30</v>
      </c>
      <c r="H148" s="16" t="s">
        <v>23</v>
      </c>
      <c r="I148" s="16" t="str">
        <f>_xlfn.TEXTJOIN(" ",TRUE, 'Raw_Employee_Data with Fomulas'!$B148,'Raw_Employee_Data with Fomulas'!$C148)</f>
        <v>Melissa Miller</v>
      </c>
      <c r="J148" s="11" t="str">
        <f>_xlfn.XLOOKUP(D148,Lookup_Departments!A:A,Lookup_Departments!B:B)</f>
        <v>Sales</v>
      </c>
      <c r="K148" s="11">
        <f t="shared" ca="1" si="2"/>
        <v>7</v>
      </c>
      <c r="L148" t="str" cm="1">
        <f t="array" ref="L148">_xlfn.IFS(G148&lt;=49,"Needs Improvement",G148&lt;=69,"Developing",G148&lt;=84,"Achieving",G148&lt;=94,"Exceeding",G148&lt;=100,"Outstanding")</f>
        <v>Needs Improvement</v>
      </c>
      <c r="M148" s="25">
        <f>F148*_xlfn.XLOOKUP(L148,Lookup_Performance!$C$2:$C$6,Lookup_Performance!$D$2:$D$6,0)</f>
        <v>0</v>
      </c>
    </row>
    <row r="149" spans="1:13" x14ac:dyDescent="0.35">
      <c r="A149" s="5" t="s">
        <v>192</v>
      </c>
      <c r="B149" s="5" t="s">
        <v>7</v>
      </c>
      <c r="C149" s="5" t="s">
        <v>18</v>
      </c>
      <c r="D149" s="14" t="s">
        <v>26</v>
      </c>
      <c r="E149" s="7">
        <v>43887</v>
      </c>
      <c r="F149" s="15">
        <v>47794</v>
      </c>
      <c r="G149" s="5">
        <v>73</v>
      </c>
      <c r="H149" s="14" t="s">
        <v>36</v>
      </c>
      <c r="I149" s="14" t="str">
        <f>_xlfn.TEXTJOIN(" ",TRUE, 'Raw_Employee_Data with Fomulas'!$B149,'Raw_Employee_Data with Fomulas'!$C149)</f>
        <v>Emily Martinez</v>
      </c>
      <c r="J149" s="11" t="str">
        <f>_xlfn.XLOOKUP(D149,Lookup_Departments!A:A,Lookup_Departments!B:B)</f>
        <v>Operations</v>
      </c>
      <c r="K149" s="11">
        <f t="shared" ca="1" si="2"/>
        <v>6</v>
      </c>
      <c r="L149" t="str" cm="1">
        <f t="array" ref="L149">_xlfn.IFS(G149&lt;=49,"Needs Improvement",G149&lt;=69,"Developing",G149&lt;=84,"Achieving",G149&lt;=94,"Exceeding",G149&lt;=100,"Outstanding")</f>
        <v>Achieving</v>
      </c>
      <c r="M149" s="25">
        <f>F149*_xlfn.XLOOKUP(L149,Lookup_Performance!$C$2:$C$6,Lookup_Performance!$D$2:$D$6,0)</f>
        <v>2389.7000000000003</v>
      </c>
    </row>
    <row r="150" spans="1:13" x14ac:dyDescent="0.35">
      <c r="A150" s="4" t="s">
        <v>193</v>
      </c>
      <c r="B150" s="4" t="s">
        <v>51</v>
      </c>
      <c r="C150" s="4" t="s">
        <v>32</v>
      </c>
      <c r="D150" s="16" t="s">
        <v>13</v>
      </c>
      <c r="E150" s="7">
        <v>45080</v>
      </c>
      <c r="F150" s="17">
        <v>93094</v>
      </c>
      <c r="G150" s="4">
        <v>74</v>
      </c>
      <c r="H150" s="16" t="s">
        <v>36</v>
      </c>
      <c r="I150" s="16" t="str">
        <f>_xlfn.TEXTJOIN(" ",TRUE, 'Raw_Employee_Data with Fomulas'!$B150,'Raw_Employee_Data with Fomulas'!$C150)</f>
        <v>James Rodriguez</v>
      </c>
      <c r="J150" s="11" t="str">
        <f>_xlfn.XLOOKUP(D150,Lookup_Departments!A:A,Lookup_Departments!B:B)</f>
        <v>Marketing</v>
      </c>
      <c r="K150" s="11">
        <f t="shared" ca="1" si="2"/>
        <v>3</v>
      </c>
      <c r="L150" t="str" cm="1">
        <f t="array" ref="L150">_xlfn.IFS(G150&lt;=49,"Needs Improvement",G150&lt;=69,"Developing",G150&lt;=84,"Achieving",G150&lt;=94,"Exceeding",G150&lt;=100,"Outstanding")</f>
        <v>Achieving</v>
      </c>
      <c r="M150" s="25">
        <f>F150*_xlfn.XLOOKUP(L150,Lookup_Performance!$C$2:$C$6,Lookup_Performance!$D$2:$D$6,0)</f>
        <v>4654.7</v>
      </c>
    </row>
    <row r="151" spans="1:13" x14ac:dyDescent="0.35">
      <c r="A151" s="5" t="s">
        <v>194</v>
      </c>
      <c r="B151" s="5" t="s">
        <v>56</v>
      </c>
      <c r="C151" s="5" t="s">
        <v>8</v>
      </c>
      <c r="D151" s="14" t="s">
        <v>9</v>
      </c>
      <c r="E151" s="7">
        <v>43800</v>
      </c>
      <c r="F151" s="15">
        <v>118634</v>
      </c>
      <c r="G151" s="5">
        <v>91</v>
      </c>
      <c r="H151" s="14" t="s">
        <v>36</v>
      </c>
      <c r="I151" s="14" t="str">
        <f>_xlfn.TEXTJOIN(" ",TRUE, 'Raw_Employee_Data with Fomulas'!$B151,'Raw_Employee_Data with Fomulas'!$C151)</f>
        <v>Amanda Brown</v>
      </c>
      <c r="J151" s="11" t="str">
        <f>_xlfn.XLOOKUP(D151,Lookup_Departments!A:A,Lookup_Departments!B:B)</f>
        <v>Information Technology</v>
      </c>
      <c r="K151" s="11">
        <f t="shared" ca="1" si="2"/>
        <v>6</v>
      </c>
      <c r="L151" t="str" cm="1">
        <f t="array" ref="L151">_xlfn.IFS(G151&lt;=49,"Needs Improvement",G151&lt;=69,"Developing",G151&lt;=84,"Achieving",G151&lt;=94,"Exceeding",G151&lt;=100,"Outstanding")</f>
        <v>Exceeding</v>
      </c>
      <c r="M151" s="25">
        <f>F151*_xlfn.XLOOKUP(L151,Lookup_Performance!$C$2:$C$6,Lookup_Performance!$D$2:$D$6,0)</f>
        <v>9490.7199999999993</v>
      </c>
    </row>
    <row r="152" spans="1:13" x14ac:dyDescent="0.35">
      <c r="A152" s="4"/>
      <c r="B152" s="4"/>
      <c r="C152" s="4"/>
      <c r="D152" s="16"/>
      <c r="F152" s="17"/>
      <c r="G152" s="4"/>
      <c r="H152" s="16"/>
      <c r="I152" s="16" t="str">
        <f>_xlfn.TEXTJOIN(" ",TRUE, 'Raw_Employee_Data with Fomulas'!$B152,'Raw_Employee_Data with Fomulas'!$C152)</f>
        <v/>
      </c>
      <c r="J152" s="11"/>
      <c r="K152" s="11"/>
      <c r="M152" s="25"/>
    </row>
    <row r="153" spans="1:13" x14ac:dyDescent="0.35">
      <c r="A153" s="5"/>
      <c r="B153" s="5"/>
      <c r="C153" s="5"/>
      <c r="D153" s="14"/>
      <c r="F153" s="15"/>
      <c r="G153" s="5"/>
      <c r="H153" s="14"/>
      <c r="I153" s="14" t="str">
        <f>_xlfn.TEXTJOIN(" ",TRUE, 'Raw_Employee_Data with Fomulas'!$B153,'Raw_Employee_Data with Fomulas'!$C153)</f>
        <v/>
      </c>
      <c r="J153" s="11"/>
      <c r="K153" s="11"/>
      <c r="M153" s="25"/>
    </row>
    <row r="154" spans="1:13" x14ac:dyDescent="0.35">
      <c r="A154" s="4"/>
      <c r="B154" s="4"/>
      <c r="C154" s="4"/>
      <c r="D154" s="16"/>
      <c r="F154" s="17"/>
      <c r="G154" s="4"/>
      <c r="H154" s="16"/>
      <c r="I154" s="16" t="str">
        <f>_xlfn.TEXTJOIN(" ",TRUE, 'Raw_Employee_Data with Fomulas'!$B154,'Raw_Employee_Data with Fomulas'!$C154)</f>
        <v/>
      </c>
      <c r="J154" s="11"/>
      <c r="K154" s="11"/>
      <c r="M154" s="25"/>
    </row>
    <row r="155" spans="1:13" x14ac:dyDescent="0.35">
      <c r="A155" s="5"/>
      <c r="B155" s="5"/>
      <c r="C155" s="5"/>
      <c r="D155" s="14"/>
      <c r="F155" s="15"/>
      <c r="G155" s="5"/>
      <c r="H155" s="14"/>
      <c r="I155" s="14" t="str">
        <f>_xlfn.TEXTJOIN(" ",TRUE, 'Raw_Employee_Data with Fomulas'!$B155,'Raw_Employee_Data with Fomulas'!$C155)</f>
        <v/>
      </c>
      <c r="J155" s="11"/>
      <c r="K155" s="11"/>
      <c r="M155" s="25"/>
    </row>
    <row r="156" spans="1:13" x14ac:dyDescent="0.35">
      <c r="A156" s="4"/>
      <c r="B156" s="4"/>
      <c r="C156" s="4"/>
      <c r="D156" s="16"/>
      <c r="F156" s="17"/>
      <c r="G156" s="4"/>
      <c r="H156" s="16"/>
      <c r="I156" s="16" t="str">
        <f>_xlfn.TEXTJOIN(" ",TRUE, 'Raw_Employee_Data with Fomulas'!$B156,'Raw_Employee_Data with Fomulas'!$C156)</f>
        <v/>
      </c>
      <c r="J156" s="11"/>
      <c r="K156" s="11"/>
      <c r="M156" s="25"/>
    </row>
    <row r="157" spans="1:13" x14ac:dyDescent="0.35">
      <c r="A157" s="5"/>
      <c r="B157" s="5"/>
      <c r="C157" s="5"/>
      <c r="D157" s="14"/>
      <c r="F157" s="15"/>
      <c r="G157" s="5"/>
      <c r="H157" s="14"/>
      <c r="I157" s="14" t="str">
        <f>_xlfn.TEXTJOIN(" ",TRUE, 'Raw_Employee_Data with Fomulas'!$B157,'Raw_Employee_Data with Fomulas'!$C157)</f>
        <v/>
      </c>
      <c r="J157" s="11"/>
      <c r="K157" s="11"/>
      <c r="M157" s="25"/>
    </row>
    <row r="158" spans="1:13" x14ac:dyDescent="0.35">
      <c r="A158" s="4"/>
      <c r="B158" s="4"/>
      <c r="C158" s="4"/>
      <c r="D158" s="16"/>
      <c r="F158" s="17"/>
      <c r="G158" s="4"/>
      <c r="H158" s="16"/>
      <c r="I158" s="16" t="str">
        <f>_xlfn.TEXTJOIN(" ",TRUE, 'Raw_Employee_Data with Fomulas'!$B158,'Raw_Employee_Data with Fomulas'!$C158)</f>
        <v/>
      </c>
      <c r="J158" s="11"/>
      <c r="K158" s="11"/>
      <c r="M158" s="25"/>
    </row>
    <row r="159" spans="1:13" x14ac:dyDescent="0.35">
      <c r="A159" s="5"/>
      <c r="B159" s="5"/>
      <c r="C159" s="5"/>
      <c r="D159" s="14"/>
      <c r="F159" s="15"/>
      <c r="G159" s="5"/>
      <c r="H159" s="14"/>
      <c r="I159" s="14" t="str">
        <f>_xlfn.TEXTJOIN(" ",TRUE, 'Raw_Employee_Data with Fomulas'!$B159,'Raw_Employee_Data with Fomulas'!$C159)</f>
        <v/>
      </c>
      <c r="J159" s="11"/>
      <c r="K159" s="11"/>
      <c r="M159" s="25"/>
    </row>
    <row r="160" spans="1:13" x14ac:dyDescent="0.35">
      <c r="A160" s="4"/>
      <c r="B160" s="4"/>
      <c r="C160" s="4"/>
      <c r="D160" s="16"/>
      <c r="F160" s="17"/>
      <c r="G160" s="4"/>
      <c r="H160" s="16"/>
      <c r="I160" s="16" t="str">
        <f>_xlfn.TEXTJOIN(" ",TRUE, 'Raw_Employee_Data with Fomulas'!$B160,'Raw_Employee_Data with Fomulas'!$C160)</f>
        <v/>
      </c>
      <c r="J160" s="11"/>
      <c r="K160" s="11"/>
      <c r="M160" s="25"/>
    </row>
    <row r="161" spans="1:13" x14ac:dyDescent="0.35">
      <c r="A161" s="5"/>
      <c r="B161" s="5"/>
      <c r="C161" s="5"/>
      <c r="D161" s="14"/>
      <c r="F161" s="15"/>
      <c r="G161" s="5"/>
      <c r="H161" s="14"/>
      <c r="I161" s="14" t="str">
        <f>_xlfn.TEXTJOIN(" ",TRUE, 'Raw_Employee_Data with Fomulas'!$B161,'Raw_Employee_Data with Fomulas'!$C161)</f>
        <v/>
      </c>
      <c r="J161" s="11"/>
      <c r="K161" s="11"/>
      <c r="M161" s="25"/>
    </row>
    <row r="162" spans="1:13" x14ac:dyDescent="0.35">
      <c r="A162" s="4"/>
      <c r="B162" s="4"/>
      <c r="C162" s="4"/>
      <c r="D162" s="16"/>
      <c r="F162" s="17"/>
      <c r="G162" s="4"/>
      <c r="H162" s="16"/>
      <c r="I162" s="16" t="str">
        <f>_xlfn.TEXTJOIN(" ",TRUE, 'Raw_Employee_Data with Fomulas'!$B162,'Raw_Employee_Data with Fomulas'!$C162)</f>
        <v/>
      </c>
      <c r="J162" s="11"/>
      <c r="K162" s="11"/>
      <c r="M162" s="25"/>
    </row>
    <row r="163" spans="1:13" x14ac:dyDescent="0.35">
      <c r="A163" s="5"/>
      <c r="B163" s="5"/>
      <c r="C163" s="5"/>
      <c r="D163" s="14"/>
      <c r="F163" s="15"/>
      <c r="G163" s="5"/>
      <c r="H163" s="14"/>
      <c r="I163" s="14" t="str">
        <f>_xlfn.TEXTJOIN(" ",TRUE, 'Raw_Employee_Data with Fomulas'!$B163,'Raw_Employee_Data with Fomulas'!$C163)</f>
        <v/>
      </c>
      <c r="J163" s="11"/>
      <c r="K163" s="11"/>
      <c r="M163" s="25"/>
    </row>
    <row r="164" spans="1:13" x14ac:dyDescent="0.35">
      <c r="A164" s="4"/>
      <c r="B164" s="4"/>
      <c r="C164" s="4"/>
      <c r="D164" s="16"/>
      <c r="F164" s="17"/>
      <c r="G164" s="4"/>
      <c r="H164" s="16"/>
      <c r="I164" s="16" t="str">
        <f>_xlfn.TEXTJOIN(" ",TRUE, 'Raw_Employee_Data with Fomulas'!$B164,'Raw_Employee_Data with Fomulas'!$C164)</f>
        <v/>
      </c>
      <c r="J164" s="11"/>
      <c r="K164" s="11"/>
      <c r="M164" s="25"/>
    </row>
    <row r="165" spans="1:13" x14ac:dyDescent="0.35">
      <c r="A165" s="6"/>
      <c r="B165" s="6"/>
      <c r="C165" s="6"/>
      <c r="D165" s="18"/>
      <c r="F165" s="19"/>
      <c r="G165" s="6"/>
      <c r="H165" s="18"/>
      <c r="I165" s="18" t="str">
        <f>_xlfn.TEXTJOIN(" ",TRUE, 'Raw_Employee_Data with Fomulas'!$B165,'Raw_Employee_Data with Fomulas'!$C165)</f>
        <v/>
      </c>
      <c r="J165" s="11"/>
      <c r="K165" s="11"/>
      <c r="M165"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9102-66CB-462F-A882-FB0621CFA7E1}">
  <dimension ref="A1:M165"/>
  <sheetViews>
    <sheetView zoomScale="94" zoomScaleNormal="94" workbookViewId="0">
      <selection activeCell="L153" sqref="L153"/>
    </sheetView>
  </sheetViews>
  <sheetFormatPr defaultRowHeight="14.5" outlineLevelCol="1" x14ac:dyDescent="0.35"/>
  <cols>
    <col min="1" max="1" width="8.81640625" customWidth="1"/>
    <col min="2" max="2" width="12.36328125" customWidth="1"/>
    <col min="3" max="3" width="12.08984375" customWidth="1"/>
    <col min="4" max="4" width="11.6328125" style="3" customWidth="1"/>
    <col min="5" max="5" width="19.90625" style="7" customWidth="1"/>
    <col min="6" max="6" width="14.6328125" style="2" customWidth="1"/>
    <col min="7" max="7" width="12.1796875" customWidth="1"/>
    <col min="8" max="8" width="9.26953125" style="3" customWidth="1"/>
    <col min="9" max="9" width="17.1796875" style="3" customWidth="1"/>
    <col min="10" max="10" width="12.1796875" customWidth="1" outlineLevel="1"/>
    <col min="11" max="11" width="8.81640625" customWidth="1" outlineLevel="1"/>
    <col min="12" max="12" width="18.54296875" customWidth="1"/>
    <col min="13" max="13" width="13.7265625" customWidth="1"/>
  </cols>
  <sheetData>
    <row r="1" spans="1:13" x14ac:dyDescent="0.35">
      <c r="A1" s="8" t="s">
        <v>0</v>
      </c>
      <c r="B1" s="8" t="s">
        <v>1</v>
      </c>
      <c r="C1" s="8" t="s">
        <v>2</v>
      </c>
      <c r="D1" s="9" t="s">
        <v>3</v>
      </c>
      <c r="E1" s="21" t="s">
        <v>4</v>
      </c>
      <c r="F1" s="10" t="s">
        <v>5</v>
      </c>
      <c r="G1" s="8" t="s">
        <v>225</v>
      </c>
      <c r="H1" s="9" t="s">
        <v>222</v>
      </c>
      <c r="I1" s="9" t="s">
        <v>212</v>
      </c>
      <c r="J1" s="9" t="s">
        <v>213</v>
      </c>
      <c r="K1" s="23" t="s">
        <v>214</v>
      </c>
      <c r="L1" s="20" t="s">
        <v>215</v>
      </c>
      <c r="M1" s="22" t="s">
        <v>216</v>
      </c>
    </row>
    <row r="2" spans="1:13" x14ac:dyDescent="0.35">
      <c r="A2" s="11" t="s">
        <v>6</v>
      </c>
      <c r="B2" s="11" t="s">
        <v>7</v>
      </c>
      <c r="C2" s="11" t="s">
        <v>8</v>
      </c>
      <c r="D2" s="12" t="s">
        <v>9</v>
      </c>
      <c r="E2" s="7">
        <v>43093</v>
      </c>
      <c r="F2" s="13">
        <v>50361</v>
      </c>
      <c r="G2" s="11">
        <v>52</v>
      </c>
      <c r="H2" s="12" t="s">
        <v>36</v>
      </c>
      <c r="I2" s="12" t="str">
        <f>_xlfn.TEXTJOIN(" ",TRUE, Raw_Employee_Data!$B2,Raw_Employee_Data!$C2)</f>
        <v>Emily Brown</v>
      </c>
      <c r="J2" s="11" t="str">
        <f>_xlfn.XLOOKUP(D2,Lookup_Departments!A:A,Lookup_Departments!B:B)</f>
        <v>Information Technology</v>
      </c>
      <c r="K2" s="11">
        <f ca="1">DATEDIF(E2,TODAY(),"Y")</f>
        <v>8</v>
      </c>
      <c r="L2" t="str" cm="1">
        <f t="array" ref="L2">_xlfn.IFS(G2&lt;=49,"Needs Improvement",G2&lt;=69,"Developing",G2&lt;=84,"Achieving",G2&lt;=94,"Exceeding",G2&lt;=100,"Outstanding")</f>
        <v>Developing</v>
      </c>
      <c r="M2" s="25">
        <f>F2*_xlfn.XLOOKUP(L2,Lookup_Performance!$C$2:$C$6,Lookup_Performance!$D$2:$D$6,0)</f>
        <v>1007.22</v>
      </c>
    </row>
    <row r="3" spans="1:13" x14ac:dyDescent="0.35">
      <c r="A3" s="5" t="s">
        <v>10</v>
      </c>
      <c r="B3" s="5" t="s">
        <v>11</v>
      </c>
      <c r="C3" s="5" t="s">
        <v>12</v>
      </c>
      <c r="D3" s="14" t="s">
        <v>13</v>
      </c>
      <c r="E3" s="7">
        <v>44777</v>
      </c>
      <c r="F3" s="15">
        <v>112673</v>
      </c>
      <c r="G3" s="5">
        <v>68</v>
      </c>
      <c r="H3" s="14" t="s">
        <v>23</v>
      </c>
      <c r="I3" s="14" t="str">
        <f>_xlfn.TEXTJOIN(" ",TRUE, Raw_Employee_Data!$B3,Raw_Employee_Data!$C3)</f>
        <v>Richard Hernandez</v>
      </c>
      <c r="J3" s="11" t="str">
        <f>_xlfn.XLOOKUP(D3,Lookup_Departments!A:A,Lookup_Departments!B:B)</f>
        <v>Marketing</v>
      </c>
      <c r="K3" s="11">
        <f t="shared" ref="K3:K66" ca="1" si="0">DATEDIF(E3,TODAY(),"Y")</f>
        <v>3</v>
      </c>
      <c r="L3" t="str" cm="1">
        <f t="array" ref="L3">_xlfn.IFS(G3&lt;=49,"Needs Improvement",G3&lt;=69,"Developing",G3&lt;=84,"Achieving",G3&lt;=94,"Exceeding",G3&lt;=100,"Outstanding")</f>
        <v>Developing</v>
      </c>
      <c r="M3" s="25">
        <f>F3*_xlfn.XLOOKUP(L3,Lookup_Performance!$C$2:$C$6,Lookup_Performance!$D$2:$D$6,0)</f>
        <v>2253.46</v>
      </c>
    </row>
    <row r="4" spans="1:13" x14ac:dyDescent="0.35">
      <c r="A4" s="4" t="s">
        <v>14</v>
      </c>
      <c r="B4" s="4" t="s">
        <v>7</v>
      </c>
      <c r="C4" s="4" t="s">
        <v>15</v>
      </c>
      <c r="D4" s="16" t="s">
        <v>9</v>
      </c>
      <c r="E4" s="7">
        <v>42403</v>
      </c>
      <c r="F4" s="17">
        <v>114425</v>
      </c>
      <c r="G4" s="4">
        <v>54</v>
      </c>
      <c r="H4" s="16" t="s">
        <v>36</v>
      </c>
      <c r="I4" s="16" t="str">
        <f>_xlfn.TEXTJOIN(" ",TRUE, Raw_Employee_Data!$B4,Raw_Employee_Data!$C4)</f>
        <v>Emily Gonzalez</v>
      </c>
      <c r="J4" s="11" t="str">
        <f>_xlfn.XLOOKUP(D4,Lookup_Departments!A:A,Lookup_Departments!B:B)</f>
        <v>Information Technology</v>
      </c>
      <c r="K4" s="11">
        <f t="shared" ca="1" si="0"/>
        <v>10</v>
      </c>
      <c r="L4" t="str" cm="1">
        <f t="array" ref="L4">_xlfn.IFS(G4&lt;=49,"Needs Improvement",G4&lt;=69,"Developing",G4&lt;=84,"Achieving",G4&lt;=94,"Exceeding",G4&lt;=100,"Outstanding")</f>
        <v>Developing</v>
      </c>
      <c r="M4" s="25">
        <f>F4*_xlfn.XLOOKUP(L4,Lookup_Performance!$C$2:$C$6,Lookup_Performance!$D$2:$D$6,0)</f>
        <v>2288.5</v>
      </c>
    </row>
    <row r="5" spans="1:13" x14ac:dyDescent="0.35">
      <c r="A5" s="5" t="s">
        <v>16</v>
      </c>
      <c r="B5" s="5" t="s">
        <v>17</v>
      </c>
      <c r="C5" s="5" t="s">
        <v>18</v>
      </c>
      <c r="D5" s="14" t="s">
        <v>19</v>
      </c>
      <c r="E5" s="7">
        <v>44992</v>
      </c>
      <c r="F5" s="15">
        <v>103831</v>
      </c>
      <c r="G5" s="5">
        <v>70</v>
      </c>
      <c r="H5" s="14" t="s">
        <v>23</v>
      </c>
      <c r="I5" s="14" t="str">
        <f>_xlfn.TEXTJOIN(" ",TRUE, Raw_Employee_Data!$B5,Raw_Employee_Data!$C5)</f>
        <v>John Martinez</v>
      </c>
      <c r="J5" s="11" t="str">
        <f>_xlfn.XLOOKUP(D5,Lookup_Departments!A:A,Lookup_Departments!B:B)</f>
        <v>Finance</v>
      </c>
      <c r="K5" s="11">
        <f t="shared" ca="1" si="0"/>
        <v>3</v>
      </c>
      <c r="L5" t="str" cm="1">
        <f t="array" ref="L5">_xlfn.IFS(G5&lt;=49,"Needs Improvement",G5&lt;=69,"Developing",G5&lt;=84,"Achieving",G5&lt;=94,"Exceeding",G5&lt;=100,"Outstanding")</f>
        <v>Achieving</v>
      </c>
      <c r="M5" s="25">
        <f>F5*_xlfn.XLOOKUP(L5,Lookup_Performance!$C$2:$C$6,Lookup_Performance!$D$2:$D$6,0)</f>
        <v>5191.55</v>
      </c>
    </row>
    <row r="6" spans="1:13" x14ac:dyDescent="0.35">
      <c r="A6" s="4" t="s">
        <v>20</v>
      </c>
      <c r="B6" s="4" t="s">
        <v>21</v>
      </c>
      <c r="C6" s="4" t="s">
        <v>22</v>
      </c>
      <c r="D6" s="16" t="s">
        <v>9</v>
      </c>
      <c r="E6" s="7">
        <v>44977</v>
      </c>
      <c r="F6" s="17">
        <v>73785</v>
      </c>
      <c r="G6" s="4">
        <v>40</v>
      </c>
      <c r="H6" s="16" t="s">
        <v>36</v>
      </c>
      <c r="I6" s="16" t="str">
        <f>_xlfn.TEXTJOIN(" ",TRUE, Raw_Employee_Data!$B6,Raw_Employee_Data!$C6)</f>
        <v>Thomas Smith</v>
      </c>
      <c r="J6" s="11" t="str">
        <f>_xlfn.XLOOKUP(D6,Lookup_Departments!A:A,Lookup_Departments!B:B)</f>
        <v>Information Technology</v>
      </c>
      <c r="K6" s="11">
        <f t="shared" ca="1" si="0"/>
        <v>3</v>
      </c>
      <c r="L6" t="str" cm="1">
        <f t="array" ref="L6">_xlfn.IFS(G6&lt;=49,"Needs Improvement",G6&lt;=69,"Developing",G6&lt;=84,"Achieving",G6&lt;=94,"Exceeding",G6&lt;=100,"Outstanding")</f>
        <v>Needs Improvement</v>
      </c>
      <c r="M6" s="25">
        <f>F6*_xlfn.XLOOKUP(L6,Lookup_Performance!$C$2:$C$6,Lookup_Performance!$D$2:$D$6,0)</f>
        <v>0</v>
      </c>
    </row>
    <row r="7" spans="1:13" x14ac:dyDescent="0.35">
      <c r="A7" s="5" t="s">
        <v>24</v>
      </c>
      <c r="B7" s="5" t="s">
        <v>7</v>
      </c>
      <c r="C7" s="5" t="s">
        <v>25</v>
      </c>
      <c r="D7" s="14" t="s">
        <v>26</v>
      </c>
      <c r="E7" s="7">
        <v>43892</v>
      </c>
      <c r="F7" s="15">
        <v>115882</v>
      </c>
      <c r="G7" s="5">
        <v>49</v>
      </c>
      <c r="H7" s="14" t="s">
        <v>23</v>
      </c>
      <c r="I7" s="14" t="str">
        <f>_xlfn.TEXTJOIN(" ",TRUE, Raw_Employee_Data!$B7,Raw_Employee_Data!$C7)</f>
        <v>Emily Johnson</v>
      </c>
      <c r="J7" s="11" t="str">
        <f>_xlfn.XLOOKUP(D7,Lookup_Departments!A:A,Lookup_Departments!B:B)</f>
        <v>Operations</v>
      </c>
      <c r="K7" s="11">
        <f t="shared" ca="1" si="0"/>
        <v>6</v>
      </c>
      <c r="L7" t="str" cm="1">
        <f t="array" ref="L7">_xlfn.IFS(G7&lt;=49,"Needs Improvement",G7&lt;=69,"Developing",G7&lt;=84,"Achieving",G7&lt;=94,"Exceeding",G7&lt;=100,"Outstanding")</f>
        <v>Needs Improvement</v>
      </c>
      <c r="M7" s="25">
        <f>F7*_xlfn.XLOOKUP(L7,Lookup_Performance!$C$2:$C$6,Lookup_Performance!$D$2:$D$6,0)</f>
        <v>0</v>
      </c>
    </row>
    <row r="8" spans="1:13" x14ac:dyDescent="0.35">
      <c r="A8" s="4" t="s">
        <v>27</v>
      </c>
      <c r="B8" s="4" t="s">
        <v>17</v>
      </c>
      <c r="C8" s="4" t="s">
        <v>28</v>
      </c>
      <c r="D8" s="16" t="s">
        <v>26</v>
      </c>
      <c r="E8" s="7">
        <v>45272</v>
      </c>
      <c r="F8" s="17">
        <v>59980</v>
      </c>
      <c r="G8" s="4">
        <v>70</v>
      </c>
      <c r="H8" s="16" t="s">
        <v>36</v>
      </c>
      <c r="I8" s="16" t="str">
        <f>_xlfn.TEXTJOIN(" ",TRUE, Raw_Employee_Data!$B8,Raw_Employee_Data!$C8)</f>
        <v>John Wilson</v>
      </c>
      <c r="J8" s="11" t="str">
        <f>_xlfn.XLOOKUP(D8,Lookup_Departments!A:A,Lookup_Departments!B:B)</f>
        <v>Operations</v>
      </c>
      <c r="K8" s="11">
        <f t="shared" ca="1" si="0"/>
        <v>2</v>
      </c>
      <c r="L8" t="str" cm="1">
        <f t="array" ref="L8">_xlfn.IFS(G8&lt;=49,"Needs Improvement",G8&lt;=69,"Developing",G8&lt;=84,"Achieving",G8&lt;=94,"Exceeding",G8&lt;=100,"Outstanding")</f>
        <v>Achieving</v>
      </c>
      <c r="M8" s="25">
        <f>F8*_xlfn.XLOOKUP(L8,Lookup_Performance!$C$2:$C$6,Lookup_Performance!$D$2:$D$6,0)</f>
        <v>2999</v>
      </c>
    </row>
    <row r="9" spans="1:13" x14ac:dyDescent="0.35">
      <c r="A9" s="5" t="s">
        <v>29</v>
      </c>
      <c r="B9" s="5" t="s">
        <v>30</v>
      </c>
      <c r="C9" s="5" t="s">
        <v>22</v>
      </c>
      <c r="D9" s="14" t="s">
        <v>26</v>
      </c>
      <c r="E9" s="7">
        <v>44086</v>
      </c>
      <c r="F9" s="15">
        <v>68728</v>
      </c>
      <c r="G9" s="5">
        <v>45</v>
      </c>
      <c r="H9" s="14" t="s">
        <v>36</v>
      </c>
      <c r="I9" s="14" t="str">
        <f>_xlfn.TEXTJOIN(" ",TRUE, Raw_Employee_Data!$B9,Raw_Employee_Data!$C9)</f>
        <v>Jessica Smith</v>
      </c>
      <c r="J9" s="11" t="str">
        <f>_xlfn.XLOOKUP(D9,Lookup_Departments!A:A,Lookup_Departments!B:B)</f>
        <v>Operations</v>
      </c>
      <c r="K9" s="11">
        <f t="shared" ca="1" si="0"/>
        <v>5</v>
      </c>
      <c r="L9" t="str" cm="1">
        <f t="array" ref="L9">_xlfn.IFS(G9&lt;=49,"Needs Improvement",G9&lt;=69,"Developing",G9&lt;=84,"Achieving",G9&lt;=94,"Exceeding",G9&lt;=100,"Outstanding")</f>
        <v>Needs Improvement</v>
      </c>
      <c r="M9" s="25">
        <f>F9*_xlfn.XLOOKUP(L9,Lookup_Performance!$C$2:$C$6,Lookup_Performance!$D$2:$D$6,0)</f>
        <v>0</v>
      </c>
    </row>
    <row r="10" spans="1:13" x14ac:dyDescent="0.35">
      <c r="A10" s="4" t="s">
        <v>31</v>
      </c>
      <c r="B10" s="4" t="s">
        <v>7</v>
      </c>
      <c r="C10" s="4" t="s">
        <v>32</v>
      </c>
      <c r="D10" s="16" t="s">
        <v>19</v>
      </c>
      <c r="E10" s="7">
        <v>43282</v>
      </c>
      <c r="F10" s="17">
        <v>102139</v>
      </c>
      <c r="G10" s="4">
        <v>79</v>
      </c>
      <c r="H10" s="16" t="s">
        <v>36</v>
      </c>
      <c r="I10" s="16" t="str">
        <f>_xlfn.TEXTJOIN(" ",TRUE, Raw_Employee_Data!$B10,Raw_Employee_Data!$C10)</f>
        <v>Emily Rodriguez</v>
      </c>
      <c r="J10" s="11" t="str">
        <f>_xlfn.XLOOKUP(D10,Lookup_Departments!A:A,Lookup_Departments!B:B)</f>
        <v>Finance</v>
      </c>
      <c r="K10" s="11">
        <f t="shared" ca="1" si="0"/>
        <v>8</v>
      </c>
      <c r="L10" t="str" cm="1">
        <f t="array" ref="L10">_xlfn.IFS(G10&lt;=49,"Needs Improvement",G10&lt;=69,"Developing",G10&lt;=84,"Achieving",G10&lt;=94,"Exceeding",G10&lt;=100,"Outstanding")</f>
        <v>Achieving</v>
      </c>
      <c r="M10" s="25">
        <f>F10*_xlfn.XLOOKUP(L10,Lookup_Performance!$C$2:$C$6,Lookup_Performance!$D$2:$D$6,0)</f>
        <v>5106.9500000000007</v>
      </c>
    </row>
    <row r="11" spans="1:13" x14ac:dyDescent="0.35">
      <c r="A11" s="5" t="s">
        <v>33</v>
      </c>
      <c r="B11" s="5" t="s">
        <v>34</v>
      </c>
      <c r="C11" s="5" t="s">
        <v>18</v>
      </c>
      <c r="D11" s="14" t="s">
        <v>35</v>
      </c>
      <c r="E11" s="7">
        <v>42411</v>
      </c>
      <c r="F11" s="15">
        <v>94998</v>
      </c>
      <c r="G11" s="5">
        <v>58</v>
      </c>
      <c r="H11" s="14" t="s">
        <v>36</v>
      </c>
      <c r="I11" s="14" t="str">
        <f>_xlfn.TEXTJOIN(" ",TRUE, Raw_Employee_Data!$B11,Raw_Employee_Data!$C11)</f>
        <v>Michael Martinez</v>
      </c>
      <c r="J11" s="11" t="str">
        <f>_xlfn.XLOOKUP(D11,Lookup_Departments!A:A,Lookup_Departments!B:B)</f>
        <v>Sales</v>
      </c>
      <c r="K11" s="11">
        <f t="shared" ca="1" si="0"/>
        <v>10</v>
      </c>
      <c r="L11" t="str" cm="1">
        <f t="array" ref="L11">_xlfn.IFS(G11&lt;=49,"Needs Improvement",G11&lt;=69,"Developing",G11&lt;=84,"Achieving",G11&lt;=94,"Exceeding",G11&lt;=100,"Outstanding")</f>
        <v>Developing</v>
      </c>
      <c r="M11" s="25">
        <f>F11*_xlfn.XLOOKUP(L11,Lookup_Performance!$C$2:$C$6,Lookup_Performance!$D$2:$D$6,0)</f>
        <v>1899.96</v>
      </c>
    </row>
    <row r="12" spans="1:13" x14ac:dyDescent="0.35">
      <c r="A12" s="4" t="s">
        <v>37</v>
      </c>
      <c r="B12" s="4" t="s">
        <v>7</v>
      </c>
      <c r="C12" s="4" t="s">
        <v>38</v>
      </c>
      <c r="D12" s="16" t="s">
        <v>35</v>
      </c>
      <c r="E12" s="7">
        <v>43911</v>
      </c>
      <c r="F12" s="17">
        <v>118635</v>
      </c>
      <c r="G12" s="4">
        <v>49</v>
      </c>
      <c r="H12" s="16" t="s">
        <v>36</v>
      </c>
      <c r="I12" s="16" t="str">
        <f>_xlfn.TEXTJOIN(" ",TRUE, Raw_Employee_Data!$B12,Raw_Employee_Data!$C12)</f>
        <v>Emily Miller</v>
      </c>
      <c r="J12" s="11" t="str">
        <f>_xlfn.XLOOKUP(D12,Lookup_Departments!A:A,Lookup_Departments!B:B)</f>
        <v>Sales</v>
      </c>
      <c r="K12" s="11">
        <f t="shared" ca="1" si="0"/>
        <v>6</v>
      </c>
      <c r="L12" t="str" cm="1">
        <f t="array" ref="L12">_xlfn.IFS(G12&lt;=49,"Needs Improvement",G12&lt;=69,"Developing",G12&lt;=84,"Achieving",G12&lt;=94,"Exceeding",G12&lt;=100,"Outstanding")</f>
        <v>Needs Improvement</v>
      </c>
      <c r="M12" s="25">
        <f>F12*_xlfn.XLOOKUP(L12,Lookup_Performance!$C$2:$C$6,Lookup_Performance!$D$2:$D$6,0)</f>
        <v>0</v>
      </c>
    </row>
    <row r="13" spans="1:13" x14ac:dyDescent="0.35">
      <c r="A13" s="5" t="s">
        <v>39</v>
      </c>
      <c r="B13" s="5" t="s">
        <v>7</v>
      </c>
      <c r="C13" s="5" t="s">
        <v>12</v>
      </c>
      <c r="D13" s="14" t="s">
        <v>9</v>
      </c>
      <c r="E13" s="7">
        <v>42425</v>
      </c>
      <c r="F13" s="15">
        <v>76918</v>
      </c>
      <c r="G13" s="5">
        <v>62</v>
      </c>
      <c r="H13" s="14" t="s">
        <v>36</v>
      </c>
      <c r="I13" s="14" t="str">
        <f>_xlfn.TEXTJOIN(" ",TRUE, Raw_Employee_Data!$B13,Raw_Employee_Data!$C13)</f>
        <v>Emily Hernandez</v>
      </c>
      <c r="J13" s="11" t="str">
        <f>_xlfn.XLOOKUP(D13,Lookup_Departments!A:A,Lookup_Departments!B:B)</f>
        <v>Information Technology</v>
      </c>
      <c r="K13" s="11">
        <f t="shared" ca="1" si="0"/>
        <v>10</v>
      </c>
      <c r="L13" t="str" cm="1">
        <f t="array" ref="L13">_xlfn.IFS(G13&lt;=49,"Needs Improvement",G13&lt;=69,"Developing",G13&lt;=84,"Achieving",G13&lt;=94,"Exceeding",G13&lt;=100,"Outstanding")</f>
        <v>Developing</v>
      </c>
      <c r="M13" s="25">
        <f>F13*_xlfn.XLOOKUP(L13,Lookup_Performance!$C$2:$C$6,Lookup_Performance!$D$2:$D$6,0)</f>
        <v>1538.3600000000001</v>
      </c>
    </row>
    <row r="14" spans="1:13" x14ac:dyDescent="0.35">
      <c r="A14" s="4" t="s">
        <v>40</v>
      </c>
      <c r="B14" s="4" t="s">
        <v>41</v>
      </c>
      <c r="C14" s="4" t="s">
        <v>42</v>
      </c>
      <c r="D14" s="16" t="s">
        <v>13</v>
      </c>
      <c r="E14" s="7">
        <v>44364</v>
      </c>
      <c r="F14" s="17">
        <v>61408</v>
      </c>
      <c r="G14" s="4">
        <v>48</v>
      </c>
      <c r="H14" s="16" t="s">
        <v>36</v>
      </c>
      <c r="I14" s="16" t="str">
        <f>_xlfn.TEXTJOIN(" ",TRUE, Raw_Employee_Data!$B14,Raw_Employee_Data!$C14)</f>
        <v>Jane Williams</v>
      </c>
      <c r="J14" s="11" t="str">
        <f>_xlfn.XLOOKUP(D14,Lookup_Departments!A:A,Lookup_Departments!B:B)</f>
        <v>Marketing</v>
      </c>
      <c r="K14" s="11">
        <f t="shared" ca="1" si="0"/>
        <v>5</v>
      </c>
      <c r="L14" t="str" cm="1">
        <f t="array" ref="L14">_xlfn.IFS(G14&lt;=49,"Needs Improvement",G14&lt;=69,"Developing",G14&lt;=84,"Achieving",G14&lt;=94,"Exceeding",G14&lt;=100,"Outstanding")</f>
        <v>Needs Improvement</v>
      </c>
      <c r="M14" s="25">
        <f>F14*_xlfn.XLOOKUP(L14,Lookup_Performance!$C$2:$C$6,Lookup_Performance!$D$2:$D$6,0)</f>
        <v>0</v>
      </c>
    </row>
    <row r="15" spans="1:13" x14ac:dyDescent="0.35">
      <c r="A15" s="5" t="s">
        <v>43</v>
      </c>
      <c r="B15" s="5" t="s">
        <v>41</v>
      </c>
      <c r="C15" s="5" t="s">
        <v>38</v>
      </c>
      <c r="D15" s="14" t="s">
        <v>13</v>
      </c>
      <c r="E15" s="7">
        <v>44001</v>
      </c>
      <c r="F15" s="15">
        <v>99990</v>
      </c>
      <c r="G15" s="5">
        <v>54</v>
      </c>
      <c r="H15" s="14" t="s">
        <v>36</v>
      </c>
      <c r="I15" s="14" t="str">
        <f>_xlfn.TEXTJOIN(" ",TRUE, Raw_Employee_Data!$B15,Raw_Employee_Data!$C15)</f>
        <v>Jane Miller</v>
      </c>
      <c r="J15" s="11" t="str">
        <f>_xlfn.XLOOKUP(D15,Lookup_Departments!A:A,Lookup_Departments!B:B)</f>
        <v>Marketing</v>
      </c>
      <c r="K15" s="11">
        <f t="shared" ca="1" si="0"/>
        <v>6</v>
      </c>
      <c r="L15" t="str" cm="1">
        <f t="array" ref="L15">_xlfn.IFS(G15&lt;=49,"Needs Improvement",G15&lt;=69,"Developing",G15&lt;=84,"Achieving",G15&lt;=94,"Exceeding",G15&lt;=100,"Outstanding")</f>
        <v>Developing</v>
      </c>
      <c r="M15" s="25">
        <f>F15*_xlfn.XLOOKUP(L15,Lookup_Performance!$C$2:$C$6,Lookup_Performance!$D$2:$D$6,0)</f>
        <v>1999.8</v>
      </c>
    </row>
    <row r="16" spans="1:13" x14ac:dyDescent="0.35">
      <c r="A16" s="4" t="s">
        <v>44</v>
      </c>
      <c r="B16" s="4" t="s">
        <v>45</v>
      </c>
      <c r="C16" s="4" t="s">
        <v>46</v>
      </c>
      <c r="D16" s="16" t="s">
        <v>13</v>
      </c>
      <c r="E16" s="7">
        <v>43820</v>
      </c>
      <c r="F16" s="17">
        <v>80385</v>
      </c>
      <c r="G16" s="4">
        <v>68</v>
      </c>
      <c r="H16" s="16" t="s">
        <v>36</v>
      </c>
      <c r="I16" s="16" t="str">
        <f>_xlfn.TEXTJOIN(" ",TRUE, Raw_Employee_Data!$B16,Raw_Employee_Data!$C16)</f>
        <v>Robert Jones</v>
      </c>
      <c r="J16" s="11" t="str">
        <f>_xlfn.XLOOKUP(D16,Lookup_Departments!A:A,Lookup_Departments!B:B)</f>
        <v>Marketing</v>
      </c>
      <c r="K16" s="11">
        <f t="shared" ca="1" si="0"/>
        <v>6</v>
      </c>
      <c r="L16" t="str" cm="1">
        <f t="array" ref="L16">_xlfn.IFS(G16&lt;=49,"Needs Improvement",G16&lt;=69,"Developing",G16&lt;=84,"Achieving",G16&lt;=94,"Exceeding",G16&lt;=100,"Outstanding")</f>
        <v>Developing</v>
      </c>
      <c r="M16" s="25">
        <f>F16*_xlfn.XLOOKUP(L16,Lookup_Performance!$C$2:$C$6,Lookup_Performance!$D$2:$D$6,0)</f>
        <v>1607.7</v>
      </c>
    </row>
    <row r="17" spans="1:13" x14ac:dyDescent="0.35">
      <c r="A17" s="5" t="s">
        <v>47</v>
      </c>
      <c r="B17" s="5" t="s">
        <v>21</v>
      </c>
      <c r="C17" s="5" t="s">
        <v>32</v>
      </c>
      <c r="D17" s="14" t="s">
        <v>35</v>
      </c>
      <c r="E17" s="7">
        <v>45169</v>
      </c>
      <c r="F17" s="15">
        <v>65290</v>
      </c>
      <c r="G17" s="5">
        <v>77</v>
      </c>
      <c r="H17" s="14" t="s">
        <v>36</v>
      </c>
      <c r="I17" s="14" t="str">
        <f>_xlfn.TEXTJOIN(" ",TRUE, Raw_Employee_Data!$B17,Raw_Employee_Data!$C17)</f>
        <v>Thomas Rodriguez</v>
      </c>
      <c r="J17" s="11" t="str">
        <f>_xlfn.XLOOKUP(D17,Lookup_Departments!A:A,Lookup_Departments!B:B)</f>
        <v>Sales</v>
      </c>
      <c r="K17" s="11">
        <f t="shared" ca="1" si="0"/>
        <v>2</v>
      </c>
      <c r="L17" t="str" cm="1">
        <f t="array" ref="L17">_xlfn.IFS(G17&lt;=49,"Needs Improvement",G17&lt;=69,"Developing",G17&lt;=84,"Achieving",G17&lt;=94,"Exceeding",G17&lt;=100,"Outstanding")</f>
        <v>Achieving</v>
      </c>
      <c r="M17" s="25">
        <f>F17*_xlfn.XLOOKUP(L17,Lookup_Performance!$C$2:$C$6,Lookup_Performance!$D$2:$D$6,0)</f>
        <v>3264.5</v>
      </c>
    </row>
    <row r="18" spans="1:13" x14ac:dyDescent="0.35">
      <c r="A18" s="4" t="s">
        <v>48</v>
      </c>
      <c r="B18" s="4" t="s">
        <v>7</v>
      </c>
      <c r="C18" s="4" t="s">
        <v>49</v>
      </c>
      <c r="D18" s="16" t="s">
        <v>9</v>
      </c>
      <c r="E18" s="7">
        <v>42337</v>
      </c>
      <c r="F18" s="17">
        <v>105765</v>
      </c>
      <c r="G18" s="4">
        <v>42</v>
      </c>
      <c r="H18" s="16" t="s">
        <v>36</v>
      </c>
      <c r="I18" s="16" t="str">
        <f>_xlfn.TEXTJOIN(" ",TRUE, Raw_Employee_Data!$B18,Raw_Employee_Data!$C18)</f>
        <v>Emily Davis</v>
      </c>
      <c r="J18" s="11" t="str">
        <f>_xlfn.XLOOKUP(D18,Lookup_Departments!A:A,Lookup_Departments!B:B)</f>
        <v>Information Technology</v>
      </c>
      <c r="K18" s="11">
        <f t="shared" ca="1" si="0"/>
        <v>10</v>
      </c>
      <c r="L18" t="str" cm="1">
        <f t="array" ref="L18">_xlfn.IFS(G18&lt;=49,"Needs Improvement",G18&lt;=69,"Developing",G18&lt;=84,"Achieving",G18&lt;=94,"Exceeding",G18&lt;=100,"Outstanding")</f>
        <v>Needs Improvement</v>
      </c>
      <c r="M18" s="25">
        <f>F18*_xlfn.XLOOKUP(L18,Lookup_Performance!$C$2:$C$6,Lookup_Performance!$D$2:$D$6,0)</f>
        <v>0</v>
      </c>
    </row>
    <row r="19" spans="1:13" x14ac:dyDescent="0.35">
      <c r="A19" s="5" t="s">
        <v>50</v>
      </c>
      <c r="B19" s="5" t="s">
        <v>51</v>
      </c>
      <c r="C19" s="5" t="s">
        <v>18</v>
      </c>
      <c r="D19" s="14" t="s">
        <v>35</v>
      </c>
      <c r="E19" s="7">
        <v>42899</v>
      </c>
      <c r="F19" s="15">
        <v>102921</v>
      </c>
      <c r="G19" s="5">
        <v>49</v>
      </c>
      <c r="H19" s="14" t="s">
        <v>36</v>
      </c>
      <c r="I19" s="14" t="str">
        <f>_xlfn.TEXTJOIN(" ",TRUE, Raw_Employee_Data!$B19,Raw_Employee_Data!$C19)</f>
        <v>James Martinez</v>
      </c>
      <c r="J19" s="11" t="str">
        <f>_xlfn.XLOOKUP(D19,Lookup_Departments!A:A,Lookup_Departments!B:B)</f>
        <v>Sales</v>
      </c>
      <c r="K19" s="11">
        <f t="shared" ca="1" si="0"/>
        <v>9</v>
      </c>
      <c r="L19" t="str" cm="1">
        <f t="array" ref="L19">_xlfn.IFS(G19&lt;=49,"Needs Improvement",G19&lt;=69,"Developing",G19&lt;=84,"Achieving",G19&lt;=94,"Exceeding",G19&lt;=100,"Outstanding")</f>
        <v>Needs Improvement</v>
      </c>
      <c r="M19" s="25">
        <f>F19*_xlfn.XLOOKUP(L19,Lookup_Performance!$C$2:$C$6,Lookup_Performance!$D$2:$D$6,0)</f>
        <v>0</v>
      </c>
    </row>
    <row r="20" spans="1:13" x14ac:dyDescent="0.35">
      <c r="A20" s="4" t="s">
        <v>52</v>
      </c>
      <c r="B20" s="4" t="s">
        <v>53</v>
      </c>
      <c r="C20" s="4" t="s">
        <v>54</v>
      </c>
      <c r="D20" s="16" t="s">
        <v>13</v>
      </c>
      <c r="E20" s="7">
        <v>42425</v>
      </c>
      <c r="F20" s="17">
        <v>73984</v>
      </c>
      <c r="G20" s="4">
        <v>93</v>
      </c>
      <c r="H20" s="16" t="s">
        <v>36</v>
      </c>
      <c r="I20" s="16" t="str">
        <f>_xlfn.TEXTJOIN(" ",TRUE, Raw_Employee_Data!$B20,Raw_Employee_Data!$C20)</f>
        <v>Ashley Lopez</v>
      </c>
      <c r="J20" s="11" t="str">
        <f>_xlfn.XLOOKUP(D20,Lookup_Departments!A:A,Lookup_Departments!B:B)</f>
        <v>Marketing</v>
      </c>
      <c r="K20" s="11">
        <f t="shared" ca="1" si="0"/>
        <v>10</v>
      </c>
      <c r="L20" t="str" cm="1">
        <f t="array" ref="L20">_xlfn.IFS(G20&lt;=49,"Needs Improvement",G20&lt;=69,"Developing",G20&lt;=84,"Achieving",G20&lt;=94,"Exceeding",G20&lt;=100,"Outstanding")</f>
        <v>Exceeding</v>
      </c>
      <c r="M20" s="25">
        <f>F20*_xlfn.XLOOKUP(L20,Lookup_Performance!$C$2:$C$6,Lookup_Performance!$D$2:$D$6,0)</f>
        <v>5918.72</v>
      </c>
    </row>
    <row r="21" spans="1:13" x14ac:dyDescent="0.35">
      <c r="A21" s="5" t="s">
        <v>55</v>
      </c>
      <c r="B21" s="5" t="s">
        <v>56</v>
      </c>
      <c r="C21" s="5" t="s">
        <v>15</v>
      </c>
      <c r="D21" s="14" t="s">
        <v>9</v>
      </c>
      <c r="E21" s="7">
        <v>43235</v>
      </c>
      <c r="F21" s="15">
        <v>82713.429999999993</v>
      </c>
      <c r="G21" s="5">
        <v>75</v>
      </c>
      <c r="H21" s="14" t="s">
        <v>36</v>
      </c>
      <c r="I21" s="14" t="str">
        <f>_xlfn.TEXTJOIN(" ",TRUE, Raw_Employee_Data!$B21,Raw_Employee_Data!$C21)</f>
        <v>Amanda Gonzalez</v>
      </c>
      <c r="J21" s="11" t="str">
        <f>_xlfn.XLOOKUP(D21,Lookup_Departments!A:A,Lookup_Departments!B:B)</f>
        <v>Information Technology</v>
      </c>
      <c r="K21" s="11">
        <f t="shared" ca="1" si="0"/>
        <v>8</v>
      </c>
      <c r="L21" t="str" cm="1">
        <f t="array" ref="L21">_xlfn.IFS(G21&lt;=49,"Needs Improvement",G21&lt;=69,"Developing",G21&lt;=84,"Achieving",G21&lt;=94,"Exceeding",G21&lt;=100,"Outstanding")</f>
        <v>Achieving</v>
      </c>
      <c r="M21" s="25">
        <f>F21*_xlfn.XLOOKUP(L21,Lookup_Performance!$C$2:$C$6,Lookup_Performance!$D$2:$D$6,0)</f>
        <v>4135.6714999999995</v>
      </c>
    </row>
    <row r="22" spans="1:13" x14ac:dyDescent="0.35">
      <c r="A22" s="4" t="s">
        <v>57</v>
      </c>
      <c r="B22" s="4" t="s">
        <v>34</v>
      </c>
      <c r="C22" s="4" t="s">
        <v>12</v>
      </c>
      <c r="D22" s="16" t="s">
        <v>19</v>
      </c>
      <c r="E22" s="7">
        <v>42575</v>
      </c>
      <c r="F22" s="17">
        <v>118527</v>
      </c>
      <c r="G22" s="4">
        <v>50</v>
      </c>
      <c r="H22" s="16" t="s">
        <v>36</v>
      </c>
      <c r="I22" s="16" t="str">
        <f>_xlfn.TEXTJOIN(" ",TRUE, Raw_Employee_Data!$B22,Raw_Employee_Data!$C22)</f>
        <v>Michael Hernandez</v>
      </c>
      <c r="J22" s="11" t="str">
        <f>_xlfn.XLOOKUP(D22,Lookup_Departments!A:A,Lookup_Departments!B:B)</f>
        <v>Finance</v>
      </c>
      <c r="K22" s="11">
        <f t="shared" ca="1" si="0"/>
        <v>9</v>
      </c>
      <c r="L22" t="str" cm="1">
        <f t="array" ref="L22">_xlfn.IFS(G22&lt;=49,"Needs Improvement",G22&lt;=69,"Developing",G22&lt;=84,"Achieving",G22&lt;=94,"Exceeding",G22&lt;=100,"Outstanding")</f>
        <v>Developing</v>
      </c>
      <c r="M22" s="25">
        <f>F22*_xlfn.XLOOKUP(L22,Lookup_Performance!$C$2:$C$6,Lookup_Performance!$D$2:$D$6,0)</f>
        <v>2370.54</v>
      </c>
    </row>
    <row r="23" spans="1:13" x14ac:dyDescent="0.35">
      <c r="A23" s="5" t="s">
        <v>58</v>
      </c>
      <c r="B23" s="5" t="s">
        <v>11</v>
      </c>
      <c r="C23" s="5" t="s">
        <v>12</v>
      </c>
      <c r="D23" s="14" t="s">
        <v>13</v>
      </c>
      <c r="E23" s="7">
        <v>42928</v>
      </c>
      <c r="F23" s="15">
        <v>107871</v>
      </c>
      <c r="G23" s="5">
        <v>88</v>
      </c>
      <c r="H23" s="14" t="s">
        <v>23</v>
      </c>
      <c r="I23" s="14" t="str">
        <f>_xlfn.TEXTJOIN(" ",TRUE, Raw_Employee_Data!$B23,Raw_Employee_Data!$C23)</f>
        <v>Richard Hernandez</v>
      </c>
      <c r="J23" s="11" t="str">
        <f>_xlfn.XLOOKUP(D23,Lookup_Departments!A:A,Lookup_Departments!B:B)</f>
        <v>Marketing</v>
      </c>
      <c r="K23" s="11">
        <f t="shared" ca="1" si="0"/>
        <v>8</v>
      </c>
      <c r="L23" t="str" cm="1">
        <f t="array" ref="L23">_xlfn.IFS(G23&lt;=49,"Needs Improvement",G23&lt;=69,"Developing",G23&lt;=84,"Achieving",G23&lt;=94,"Exceeding",G23&lt;=100,"Outstanding")</f>
        <v>Exceeding</v>
      </c>
      <c r="M23" s="25">
        <f>F23*_xlfn.XLOOKUP(L23,Lookup_Performance!$C$2:$C$6,Lookup_Performance!$D$2:$D$6,0)</f>
        <v>8629.68</v>
      </c>
    </row>
    <row r="24" spans="1:13" x14ac:dyDescent="0.35">
      <c r="A24" s="4" t="s">
        <v>59</v>
      </c>
      <c r="B24" s="4" t="s">
        <v>34</v>
      </c>
      <c r="C24" s="4" t="s">
        <v>32</v>
      </c>
      <c r="D24" s="16" t="s">
        <v>9</v>
      </c>
      <c r="E24" s="7">
        <v>44353</v>
      </c>
      <c r="F24" s="17">
        <v>93956</v>
      </c>
      <c r="G24" s="4">
        <v>50</v>
      </c>
      <c r="H24" s="16" t="s">
        <v>36</v>
      </c>
      <c r="I24" s="16" t="str">
        <f>_xlfn.TEXTJOIN(" ",TRUE, Raw_Employee_Data!$B24,Raw_Employee_Data!$C24)</f>
        <v>Michael Rodriguez</v>
      </c>
      <c r="J24" s="11" t="str">
        <f>_xlfn.XLOOKUP(D24,Lookup_Departments!A:A,Lookup_Departments!B:B)</f>
        <v>Information Technology</v>
      </c>
      <c r="K24" s="11">
        <f t="shared" ca="1" si="0"/>
        <v>5</v>
      </c>
      <c r="L24" t="str" cm="1">
        <f t="array" ref="L24">_xlfn.IFS(G24&lt;=49,"Needs Improvement",G24&lt;=69,"Developing",G24&lt;=84,"Achieving",G24&lt;=94,"Exceeding",G24&lt;=100,"Outstanding")</f>
        <v>Developing</v>
      </c>
      <c r="M24" s="25">
        <f>F24*_xlfn.XLOOKUP(L24,Lookup_Performance!$C$2:$C$6,Lookup_Performance!$D$2:$D$6,0)</f>
        <v>1879.1200000000001</v>
      </c>
    </row>
    <row r="25" spans="1:13" x14ac:dyDescent="0.35">
      <c r="A25" s="5" t="s">
        <v>60</v>
      </c>
      <c r="B25" s="5" t="s">
        <v>30</v>
      </c>
      <c r="C25" s="5" t="s">
        <v>25</v>
      </c>
      <c r="D25" s="14" t="s">
        <v>19</v>
      </c>
      <c r="E25" s="7">
        <v>44874</v>
      </c>
      <c r="F25" s="15">
        <v>100851</v>
      </c>
      <c r="G25" s="5">
        <v>64</v>
      </c>
      <c r="H25" s="14" t="s">
        <v>36</v>
      </c>
      <c r="I25" s="14" t="str">
        <f>_xlfn.TEXTJOIN(" ",TRUE, Raw_Employee_Data!$B25,Raw_Employee_Data!$C25)</f>
        <v>Jessica Johnson</v>
      </c>
      <c r="J25" s="11" t="str">
        <f>_xlfn.XLOOKUP(D25,Lookup_Departments!A:A,Lookup_Departments!B:B)</f>
        <v>Finance</v>
      </c>
      <c r="K25" s="11">
        <f t="shared" ca="1" si="0"/>
        <v>3</v>
      </c>
      <c r="L25" t="str" cm="1">
        <f t="array" ref="L25">_xlfn.IFS(G25&lt;=49,"Needs Improvement",G25&lt;=69,"Developing",G25&lt;=84,"Achieving",G25&lt;=94,"Exceeding",G25&lt;=100,"Outstanding")</f>
        <v>Developing</v>
      </c>
      <c r="M25" s="25">
        <f>F25*_xlfn.XLOOKUP(L25,Lookup_Performance!$C$2:$C$6,Lookup_Performance!$D$2:$D$6,0)</f>
        <v>2017.02</v>
      </c>
    </row>
    <row r="26" spans="1:13" x14ac:dyDescent="0.35">
      <c r="A26" s="4" t="s">
        <v>61</v>
      </c>
      <c r="B26" s="4" t="s">
        <v>53</v>
      </c>
      <c r="C26" s="4" t="s">
        <v>42</v>
      </c>
      <c r="D26" s="16" t="s">
        <v>35</v>
      </c>
      <c r="E26" s="7">
        <v>42565</v>
      </c>
      <c r="F26" s="17">
        <v>68655</v>
      </c>
      <c r="G26" s="4">
        <v>32</v>
      </c>
      <c r="H26" s="16" t="s">
        <v>36</v>
      </c>
      <c r="I26" s="16" t="str">
        <f>_xlfn.TEXTJOIN(" ",TRUE, Raw_Employee_Data!$B26,Raw_Employee_Data!$C26)</f>
        <v>Ashley Williams</v>
      </c>
      <c r="J26" s="11" t="str">
        <f>_xlfn.XLOOKUP(D26,Lookup_Departments!A:A,Lookup_Departments!B:B)</f>
        <v>Sales</v>
      </c>
      <c r="K26" s="11">
        <f t="shared" ca="1" si="0"/>
        <v>9</v>
      </c>
      <c r="L26" t="str" cm="1">
        <f t="array" ref="L26">_xlfn.IFS(G26&lt;=49,"Needs Improvement",G26&lt;=69,"Developing",G26&lt;=84,"Achieving",G26&lt;=94,"Exceeding",G26&lt;=100,"Outstanding")</f>
        <v>Needs Improvement</v>
      </c>
      <c r="M26" s="25">
        <f>F26*_xlfn.XLOOKUP(L26,Lookup_Performance!$C$2:$C$6,Lookup_Performance!$D$2:$D$6,0)</f>
        <v>0</v>
      </c>
    </row>
    <row r="27" spans="1:13" x14ac:dyDescent="0.35">
      <c r="A27" s="5" t="s">
        <v>62</v>
      </c>
      <c r="B27" s="5" t="s">
        <v>7</v>
      </c>
      <c r="C27" s="5" t="s">
        <v>42</v>
      </c>
      <c r="D27" s="14" t="s">
        <v>35</v>
      </c>
      <c r="E27" s="7">
        <v>44728</v>
      </c>
      <c r="F27" s="15">
        <v>81205</v>
      </c>
      <c r="G27" s="5">
        <v>59</v>
      </c>
      <c r="H27" s="14" t="s">
        <v>36</v>
      </c>
      <c r="I27" s="14" t="str">
        <f>_xlfn.TEXTJOIN(" ",TRUE, Raw_Employee_Data!$B27,Raw_Employee_Data!$C27)</f>
        <v>Emily Williams</v>
      </c>
      <c r="J27" s="11" t="str">
        <f>_xlfn.XLOOKUP(D27,Lookup_Departments!A:A,Lookup_Departments!B:B)</f>
        <v>Sales</v>
      </c>
      <c r="K27" s="11">
        <f t="shared" ca="1" si="0"/>
        <v>4</v>
      </c>
      <c r="L27" t="str" cm="1">
        <f t="array" ref="L27">_xlfn.IFS(G27&lt;=49,"Needs Improvement",G27&lt;=69,"Developing",G27&lt;=84,"Achieving",G27&lt;=94,"Exceeding",G27&lt;=100,"Outstanding")</f>
        <v>Developing</v>
      </c>
      <c r="M27" s="25">
        <f>F27*_xlfn.XLOOKUP(L27,Lookup_Performance!$C$2:$C$6,Lookup_Performance!$D$2:$D$6,0)</f>
        <v>1624.1000000000001</v>
      </c>
    </row>
    <row r="28" spans="1:13" x14ac:dyDescent="0.35">
      <c r="A28" s="4" t="s">
        <v>63</v>
      </c>
      <c r="B28" s="4" t="s">
        <v>17</v>
      </c>
      <c r="C28" s="4" t="s">
        <v>28</v>
      </c>
      <c r="D28" s="16" t="s">
        <v>35</v>
      </c>
      <c r="E28" s="7">
        <v>45134</v>
      </c>
      <c r="F28" s="17">
        <v>77610</v>
      </c>
      <c r="G28" s="4">
        <v>88</v>
      </c>
      <c r="H28" s="16" t="s">
        <v>36</v>
      </c>
      <c r="I28" s="16" t="str">
        <f>_xlfn.TEXTJOIN(" ",TRUE, Raw_Employee_Data!$B28,Raw_Employee_Data!$C28)</f>
        <v>John Wilson</v>
      </c>
      <c r="J28" s="11" t="str">
        <f>_xlfn.XLOOKUP(D28,Lookup_Departments!A:A,Lookup_Departments!B:B)</f>
        <v>Sales</v>
      </c>
      <c r="K28" s="11">
        <f t="shared" ca="1" si="0"/>
        <v>2</v>
      </c>
      <c r="L28" t="str" cm="1">
        <f t="array" ref="L28">_xlfn.IFS(G28&lt;=49,"Needs Improvement",G28&lt;=69,"Developing",G28&lt;=84,"Achieving",G28&lt;=94,"Exceeding",G28&lt;=100,"Outstanding")</f>
        <v>Exceeding</v>
      </c>
      <c r="M28" s="25">
        <f>F28*_xlfn.XLOOKUP(L28,Lookup_Performance!$C$2:$C$6,Lookup_Performance!$D$2:$D$6,0)</f>
        <v>6208.8</v>
      </c>
    </row>
    <row r="29" spans="1:13" x14ac:dyDescent="0.35">
      <c r="A29" s="5" t="s">
        <v>64</v>
      </c>
      <c r="B29" s="5" t="s">
        <v>21</v>
      </c>
      <c r="C29" s="5" t="s">
        <v>32</v>
      </c>
      <c r="D29" s="14" t="s">
        <v>9</v>
      </c>
      <c r="E29" s="7">
        <v>43732</v>
      </c>
      <c r="F29" s="15">
        <v>50873</v>
      </c>
      <c r="G29" s="5">
        <v>90</v>
      </c>
      <c r="H29" s="14" t="s">
        <v>36</v>
      </c>
      <c r="I29" s="14" t="str">
        <f>_xlfn.TEXTJOIN(" ",TRUE, Raw_Employee_Data!$B29,Raw_Employee_Data!$C29)</f>
        <v>Thomas Rodriguez</v>
      </c>
      <c r="J29" s="11" t="str">
        <f>_xlfn.XLOOKUP(D29,Lookup_Departments!A:A,Lookup_Departments!B:B)</f>
        <v>Information Technology</v>
      </c>
      <c r="K29" s="11">
        <f t="shared" ca="1" si="0"/>
        <v>6</v>
      </c>
      <c r="L29" t="str" cm="1">
        <f t="array" ref="L29">_xlfn.IFS(G29&lt;=49,"Needs Improvement",G29&lt;=69,"Developing",G29&lt;=84,"Achieving",G29&lt;=94,"Exceeding",G29&lt;=100,"Outstanding")</f>
        <v>Exceeding</v>
      </c>
      <c r="M29" s="25">
        <f>F29*_xlfn.XLOOKUP(L29,Lookup_Performance!$C$2:$C$6,Lookup_Performance!$D$2:$D$6,0)</f>
        <v>4069.84</v>
      </c>
    </row>
    <row r="30" spans="1:13" x14ac:dyDescent="0.35">
      <c r="A30" s="4" t="s">
        <v>65</v>
      </c>
      <c r="B30" s="4" t="s">
        <v>34</v>
      </c>
      <c r="C30" s="4" t="s">
        <v>28</v>
      </c>
      <c r="D30" s="16" t="s">
        <v>19</v>
      </c>
      <c r="E30" s="7">
        <v>44765</v>
      </c>
      <c r="F30" s="17">
        <v>85312</v>
      </c>
      <c r="G30" s="4">
        <v>66</v>
      </c>
      <c r="H30" s="16" t="s">
        <v>36</v>
      </c>
      <c r="I30" s="16" t="str">
        <f>_xlfn.TEXTJOIN(" ",TRUE, Raw_Employee_Data!$B30,Raw_Employee_Data!$C30)</f>
        <v>Michael Wilson</v>
      </c>
      <c r="J30" s="11" t="str">
        <f>_xlfn.XLOOKUP(D30,Lookup_Departments!A:A,Lookup_Departments!B:B)</f>
        <v>Finance</v>
      </c>
      <c r="K30" s="11">
        <f t="shared" ca="1" si="0"/>
        <v>3</v>
      </c>
      <c r="L30" t="str" cm="1">
        <f t="array" ref="L30">_xlfn.IFS(G30&lt;=49,"Needs Improvement",G30&lt;=69,"Developing",G30&lt;=84,"Achieving",G30&lt;=94,"Exceeding",G30&lt;=100,"Outstanding")</f>
        <v>Developing</v>
      </c>
      <c r="M30" s="25">
        <f>F30*_xlfn.XLOOKUP(L30,Lookup_Performance!$C$2:$C$6,Lookup_Performance!$D$2:$D$6,0)</f>
        <v>1706.24</v>
      </c>
    </row>
    <row r="31" spans="1:13" x14ac:dyDescent="0.35">
      <c r="A31" s="5" t="s">
        <v>66</v>
      </c>
      <c r="B31" s="5" t="s">
        <v>17</v>
      </c>
      <c r="C31" s="5" t="s">
        <v>32</v>
      </c>
      <c r="D31" s="14" t="s">
        <v>35</v>
      </c>
      <c r="E31" s="7">
        <v>43233</v>
      </c>
      <c r="F31" s="15">
        <v>82713.429999999993</v>
      </c>
      <c r="G31" s="5">
        <v>68</v>
      </c>
      <c r="H31" s="14" t="s">
        <v>36</v>
      </c>
      <c r="I31" s="14" t="str">
        <f>_xlfn.TEXTJOIN(" ",TRUE, Raw_Employee_Data!$B31,Raw_Employee_Data!$C31)</f>
        <v>John Rodriguez</v>
      </c>
      <c r="J31" s="11" t="str">
        <f>_xlfn.XLOOKUP(D31,Lookup_Departments!A:A,Lookup_Departments!B:B)</f>
        <v>Sales</v>
      </c>
      <c r="K31" s="11">
        <f t="shared" ca="1" si="0"/>
        <v>8</v>
      </c>
      <c r="L31" t="str" cm="1">
        <f t="array" ref="L31">_xlfn.IFS(G31&lt;=49,"Needs Improvement",G31&lt;=69,"Developing",G31&lt;=84,"Achieving",G31&lt;=94,"Exceeding",G31&lt;=100,"Outstanding")</f>
        <v>Developing</v>
      </c>
      <c r="M31" s="25">
        <f>F31*_xlfn.XLOOKUP(L31,Lookup_Performance!$C$2:$C$6,Lookup_Performance!$D$2:$D$6,0)</f>
        <v>1654.2685999999999</v>
      </c>
    </row>
    <row r="32" spans="1:13" x14ac:dyDescent="0.35">
      <c r="A32" s="4" t="s">
        <v>67</v>
      </c>
      <c r="B32" s="4" t="s">
        <v>21</v>
      </c>
      <c r="C32" s="4" t="s">
        <v>12</v>
      </c>
      <c r="D32" s="16" t="s">
        <v>26</v>
      </c>
      <c r="E32" s="7">
        <v>42202</v>
      </c>
      <c r="F32" s="17">
        <v>97055</v>
      </c>
      <c r="G32" s="4">
        <v>80</v>
      </c>
      <c r="H32" s="16" t="s">
        <v>36</v>
      </c>
      <c r="I32" s="16" t="str">
        <f>_xlfn.TEXTJOIN(" ",TRUE, Raw_Employee_Data!$B32,Raw_Employee_Data!$C32)</f>
        <v>Thomas Hernandez</v>
      </c>
      <c r="J32" s="11" t="str">
        <f>_xlfn.XLOOKUP(D32,Lookup_Departments!A:A,Lookup_Departments!B:B)</f>
        <v>Operations</v>
      </c>
      <c r="K32" s="11">
        <f t="shared" ca="1" si="0"/>
        <v>10</v>
      </c>
      <c r="L32" t="str" cm="1">
        <f t="array" ref="L32">_xlfn.IFS(G32&lt;=49,"Needs Improvement",G32&lt;=69,"Developing",G32&lt;=84,"Achieving",G32&lt;=94,"Exceeding",G32&lt;=100,"Outstanding")</f>
        <v>Achieving</v>
      </c>
      <c r="M32" s="25">
        <f>F32*_xlfn.XLOOKUP(L32,Lookup_Performance!$C$2:$C$6,Lookup_Performance!$D$2:$D$6,0)</f>
        <v>4852.75</v>
      </c>
    </row>
    <row r="33" spans="1:13" x14ac:dyDescent="0.35">
      <c r="A33" s="5" t="s">
        <v>68</v>
      </c>
      <c r="B33" s="5" t="s">
        <v>34</v>
      </c>
      <c r="C33" s="5" t="s">
        <v>25</v>
      </c>
      <c r="D33" s="14" t="s">
        <v>9</v>
      </c>
      <c r="E33" s="7">
        <v>42221</v>
      </c>
      <c r="F33" s="15">
        <v>66069</v>
      </c>
      <c r="G33" s="5">
        <v>72</v>
      </c>
      <c r="H33" s="14" t="s">
        <v>36</v>
      </c>
      <c r="I33" s="14" t="str">
        <f>_xlfn.TEXTJOIN(" ",TRUE, Raw_Employee_Data!$B33,Raw_Employee_Data!$C33)</f>
        <v>Michael Johnson</v>
      </c>
      <c r="J33" s="11" t="str">
        <f>_xlfn.XLOOKUP(D33,Lookup_Departments!A:A,Lookup_Departments!B:B)</f>
        <v>Information Technology</v>
      </c>
      <c r="K33" s="11">
        <f t="shared" ca="1" si="0"/>
        <v>10</v>
      </c>
      <c r="L33" t="str" cm="1">
        <f t="array" ref="L33">_xlfn.IFS(G33&lt;=49,"Needs Improvement",G33&lt;=69,"Developing",G33&lt;=84,"Achieving",G33&lt;=94,"Exceeding",G33&lt;=100,"Outstanding")</f>
        <v>Achieving</v>
      </c>
      <c r="M33" s="25">
        <f>F33*_xlfn.XLOOKUP(L33,Lookup_Performance!$C$2:$C$6,Lookup_Performance!$D$2:$D$6,0)</f>
        <v>3303.4500000000003</v>
      </c>
    </row>
    <row r="34" spans="1:13" x14ac:dyDescent="0.35">
      <c r="A34" s="4" t="s">
        <v>69</v>
      </c>
      <c r="B34" s="4" t="s">
        <v>70</v>
      </c>
      <c r="C34" s="4" t="s">
        <v>8</v>
      </c>
      <c r="D34" s="16" t="s">
        <v>9</v>
      </c>
      <c r="E34" s="7">
        <v>45195</v>
      </c>
      <c r="F34" s="17">
        <v>90157</v>
      </c>
      <c r="G34" s="4">
        <v>58</v>
      </c>
      <c r="H34" s="16" t="s">
        <v>36</v>
      </c>
      <c r="I34" s="16" t="str">
        <f>_xlfn.TEXTJOIN(" ",TRUE, Raw_Employee_Data!$B34,Raw_Employee_Data!$C34)</f>
        <v>Sarah Brown</v>
      </c>
      <c r="J34" s="11" t="str">
        <f>_xlfn.XLOOKUP(D34,Lookup_Departments!A:A,Lookup_Departments!B:B)</f>
        <v>Information Technology</v>
      </c>
      <c r="K34" s="11">
        <f t="shared" ca="1" si="0"/>
        <v>2</v>
      </c>
      <c r="L34" t="str" cm="1">
        <f t="array" ref="L34">_xlfn.IFS(G34&lt;=49,"Needs Improvement",G34&lt;=69,"Developing",G34&lt;=84,"Achieving",G34&lt;=94,"Exceeding",G34&lt;=100,"Outstanding")</f>
        <v>Developing</v>
      </c>
      <c r="M34" s="25">
        <f>F34*_xlfn.XLOOKUP(L34,Lookup_Performance!$C$2:$C$6,Lookup_Performance!$D$2:$D$6,0)</f>
        <v>1803.14</v>
      </c>
    </row>
    <row r="35" spans="1:13" x14ac:dyDescent="0.35">
      <c r="A35" s="5" t="s">
        <v>71</v>
      </c>
      <c r="B35" s="5" t="s">
        <v>41</v>
      </c>
      <c r="C35" s="5" t="s">
        <v>18</v>
      </c>
      <c r="D35" s="14" t="s">
        <v>72</v>
      </c>
      <c r="E35" s="7">
        <v>43626</v>
      </c>
      <c r="F35" s="15">
        <v>59899</v>
      </c>
      <c r="G35" s="5">
        <v>78</v>
      </c>
      <c r="H35" s="14" t="s">
        <v>36</v>
      </c>
      <c r="I35" s="14" t="str">
        <f>_xlfn.TEXTJOIN(" ",TRUE, Raw_Employee_Data!$B35,Raw_Employee_Data!$C35)</f>
        <v>Jane Martinez</v>
      </c>
      <c r="J35" s="11" t="str">
        <f>_xlfn.XLOOKUP(D35,Lookup_Departments!A:A,Lookup_Departments!B:B)</f>
        <v>Human Resources</v>
      </c>
      <c r="K35" s="11">
        <f t="shared" ca="1" si="0"/>
        <v>7</v>
      </c>
      <c r="L35" t="str" cm="1">
        <f t="array" ref="L35">_xlfn.IFS(G35&lt;=49,"Needs Improvement",G35&lt;=69,"Developing",G35&lt;=84,"Achieving",G35&lt;=94,"Exceeding",G35&lt;=100,"Outstanding")</f>
        <v>Achieving</v>
      </c>
      <c r="M35" s="25">
        <f>F35*_xlfn.XLOOKUP(L35,Lookup_Performance!$C$2:$C$6,Lookup_Performance!$D$2:$D$6,0)</f>
        <v>2994.9500000000003</v>
      </c>
    </row>
    <row r="36" spans="1:13" x14ac:dyDescent="0.35">
      <c r="A36" s="4" t="s">
        <v>73</v>
      </c>
      <c r="B36" s="4" t="s">
        <v>7</v>
      </c>
      <c r="C36" s="4" t="s">
        <v>46</v>
      </c>
      <c r="D36" s="16" t="s">
        <v>19</v>
      </c>
      <c r="E36" s="7">
        <v>44578</v>
      </c>
      <c r="F36" s="17">
        <v>113389</v>
      </c>
      <c r="G36" s="4">
        <v>30</v>
      </c>
      <c r="H36" s="16" t="s">
        <v>36</v>
      </c>
      <c r="I36" s="16" t="str">
        <f>_xlfn.TEXTJOIN(" ",TRUE, Raw_Employee_Data!$B36,Raw_Employee_Data!$C36)</f>
        <v>Emily Jones</v>
      </c>
      <c r="J36" s="11" t="str">
        <f>_xlfn.XLOOKUP(D36,Lookup_Departments!A:A,Lookup_Departments!B:B)</f>
        <v>Finance</v>
      </c>
      <c r="K36" s="11">
        <f t="shared" ca="1" si="0"/>
        <v>4</v>
      </c>
      <c r="L36" t="str" cm="1">
        <f t="array" ref="L36">_xlfn.IFS(G36&lt;=49,"Needs Improvement",G36&lt;=69,"Developing",G36&lt;=84,"Achieving",G36&lt;=94,"Exceeding",G36&lt;=100,"Outstanding")</f>
        <v>Needs Improvement</v>
      </c>
      <c r="M36" s="25">
        <f>F36*_xlfn.XLOOKUP(L36,Lookup_Performance!$C$2:$C$6,Lookup_Performance!$D$2:$D$6,0)</f>
        <v>0</v>
      </c>
    </row>
    <row r="37" spans="1:13" x14ac:dyDescent="0.35">
      <c r="A37" s="5" t="s">
        <v>74</v>
      </c>
      <c r="B37" s="5" t="s">
        <v>7</v>
      </c>
      <c r="C37" s="5" t="s">
        <v>8</v>
      </c>
      <c r="D37" s="14" t="s">
        <v>9</v>
      </c>
      <c r="E37" s="7">
        <v>42919</v>
      </c>
      <c r="F37" s="15">
        <v>102691</v>
      </c>
      <c r="G37" s="5">
        <v>52</v>
      </c>
      <c r="H37" s="14" t="s">
        <v>36</v>
      </c>
      <c r="I37" s="14" t="str">
        <f>_xlfn.TEXTJOIN(" ",TRUE, Raw_Employee_Data!$B37,Raw_Employee_Data!$C37)</f>
        <v>Emily Brown</v>
      </c>
      <c r="J37" s="11" t="str">
        <f>_xlfn.XLOOKUP(D37,Lookup_Departments!A:A,Lookup_Departments!B:B)</f>
        <v>Information Technology</v>
      </c>
      <c r="K37" s="11">
        <f t="shared" ca="1" si="0"/>
        <v>9</v>
      </c>
      <c r="L37" t="str" cm="1">
        <f t="array" ref="L37">_xlfn.IFS(G37&lt;=49,"Needs Improvement",G37&lt;=69,"Developing",G37&lt;=84,"Achieving",G37&lt;=94,"Exceeding",G37&lt;=100,"Outstanding")</f>
        <v>Developing</v>
      </c>
      <c r="M37" s="25">
        <f>F37*_xlfn.XLOOKUP(L37,Lookup_Performance!$C$2:$C$6,Lookup_Performance!$D$2:$D$6,0)</f>
        <v>2053.8200000000002</v>
      </c>
    </row>
    <row r="38" spans="1:13" x14ac:dyDescent="0.35">
      <c r="A38" s="4" t="s">
        <v>75</v>
      </c>
      <c r="B38" s="4" t="s">
        <v>17</v>
      </c>
      <c r="C38" s="4" t="s">
        <v>28</v>
      </c>
      <c r="D38" s="16" t="s">
        <v>26</v>
      </c>
      <c r="E38" s="7">
        <v>42248</v>
      </c>
      <c r="F38" s="17">
        <v>111845</v>
      </c>
      <c r="G38" s="4">
        <v>98</v>
      </c>
      <c r="H38" s="16" t="s">
        <v>36</v>
      </c>
      <c r="I38" s="16" t="str">
        <f>_xlfn.TEXTJOIN(" ",TRUE, Raw_Employee_Data!$B38,Raw_Employee_Data!$C38)</f>
        <v>John Wilson</v>
      </c>
      <c r="J38" s="11" t="str">
        <f>_xlfn.XLOOKUP(D38,Lookup_Departments!A:A,Lookup_Departments!B:B)</f>
        <v>Operations</v>
      </c>
      <c r="K38" s="11">
        <f t="shared" ca="1" si="0"/>
        <v>10</v>
      </c>
      <c r="L38" t="str" cm="1">
        <f t="array" ref="L38">_xlfn.IFS(G38&lt;=49,"Needs Improvement",G38&lt;=69,"Developing",G38&lt;=84,"Achieving",G38&lt;=94,"Exceeding",G38&lt;=100,"Outstanding")</f>
        <v>Outstanding</v>
      </c>
      <c r="M38" s="25">
        <f>F38*_xlfn.XLOOKUP(L38,Lookup_Performance!$C$2:$C$6,Lookup_Performance!$D$2:$D$6,0)</f>
        <v>13421.4</v>
      </c>
    </row>
    <row r="39" spans="1:13" x14ac:dyDescent="0.35">
      <c r="A39" s="5" t="s">
        <v>76</v>
      </c>
      <c r="B39" s="5" t="s">
        <v>77</v>
      </c>
      <c r="C39" s="5" t="s">
        <v>8</v>
      </c>
      <c r="D39" s="14" t="s">
        <v>35</v>
      </c>
      <c r="E39" s="7">
        <v>44776</v>
      </c>
      <c r="F39" s="15">
        <v>69219</v>
      </c>
      <c r="G39" s="5">
        <v>93</v>
      </c>
      <c r="H39" s="14" t="s">
        <v>23</v>
      </c>
      <c r="I39" s="14" t="str">
        <f>_xlfn.TEXTJOIN(" ",TRUE, Raw_Employee_Data!$B39,Raw_Employee_Data!$C39)</f>
        <v>Melissa Brown</v>
      </c>
      <c r="J39" s="11" t="str">
        <f>_xlfn.XLOOKUP(D39,Lookup_Departments!A:A,Lookup_Departments!B:B)</f>
        <v>Sales</v>
      </c>
      <c r="K39" s="11">
        <f t="shared" ca="1" si="0"/>
        <v>3</v>
      </c>
      <c r="L39" t="str" cm="1">
        <f t="array" ref="L39">_xlfn.IFS(G39&lt;=49,"Needs Improvement",G39&lt;=69,"Developing",G39&lt;=84,"Achieving",G39&lt;=94,"Exceeding",G39&lt;=100,"Outstanding")</f>
        <v>Exceeding</v>
      </c>
      <c r="M39" s="25">
        <f>F39*_xlfn.XLOOKUP(L39,Lookup_Performance!$C$2:$C$6,Lookup_Performance!$D$2:$D$6,0)</f>
        <v>5537.52</v>
      </c>
    </row>
    <row r="40" spans="1:13" x14ac:dyDescent="0.35">
      <c r="A40" s="4" t="s">
        <v>78</v>
      </c>
      <c r="B40" s="4" t="s">
        <v>34</v>
      </c>
      <c r="C40" s="4" t="s">
        <v>22</v>
      </c>
      <c r="D40" s="16" t="s">
        <v>19</v>
      </c>
      <c r="E40" s="7">
        <v>44741</v>
      </c>
      <c r="F40" s="17">
        <v>82713.429999999993</v>
      </c>
      <c r="G40" s="4">
        <v>80</v>
      </c>
      <c r="H40" s="16" t="s">
        <v>36</v>
      </c>
      <c r="I40" s="16" t="str">
        <f>_xlfn.TEXTJOIN(" ",TRUE, Raw_Employee_Data!$B40,Raw_Employee_Data!$C40)</f>
        <v>Michael Smith</v>
      </c>
      <c r="J40" s="11" t="str">
        <f>_xlfn.XLOOKUP(D40,Lookup_Departments!A:A,Lookup_Departments!B:B)</f>
        <v>Finance</v>
      </c>
      <c r="K40" s="11">
        <f t="shared" ca="1" si="0"/>
        <v>4</v>
      </c>
      <c r="L40" t="str" cm="1">
        <f t="array" ref="L40">_xlfn.IFS(G40&lt;=49,"Needs Improvement",G40&lt;=69,"Developing",G40&lt;=84,"Achieving",G40&lt;=94,"Exceeding",G40&lt;=100,"Outstanding")</f>
        <v>Achieving</v>
      </c>
      <c r="M40" s="25">
        <f>F40*_xlfn.XLOOKUP(L40,Lookup_Performance!$C$2:$C$6,Lookup_Performance!$D$2:$D$6,0)</f>
        <v>4135.6714999999995</v>
      </c>
    </row>
    <row r="41" spans="1:13" x14ac:dyDescent="0.35">
      <c r="A41" s="5" t="s">
        <v>79</v>
      </c>
      <c r="B41" s="5" t="s">
        <v>70</v>
      </c>
      <c r="C41" s="5" t="s">
        <v>38</v>
      </c>
      <c r="D41" s="14" t="s">
        <v>26</v>
      </c>
      <c r="E41" s="7">
        <v>43949</v>
      </c>
      <c r="F41" s="15">
        <v>57514</v>
      </c>
      <c r="G41" s="5">
        <v>68</v>
      </c>
      <c r="H41" s="14" t="s">
        <v>23</v>
      </c>
      <c r="I41" s="14" t="str">
        <f>_xlfn.TEXTJOIN(" ",TRUE, Raw_Employee_Data!$B41,Raw_Employee_Data!$C41)</f>
        <v>Sarah Miller</v>
      </c>
      <c r="J41" s="11" t="str">
        <f>_xlfn.XLOOKUP(D41,Lookup_Departments!A:A,Lookup_Departments!B:B)</f>
        <v>Operations</v>
      </c>
      <c r="K41" s="11">
        <f t="shared" ca="1" si="0"/>
        <v>6</v>
      </c>
      <c r="L41" t="str" cm="1">
        <f t="array" ref="L41">_xlfn.IFS(G41&lt;=49,"Needs Improvement",G41&lt;=69,"Developing",G41&lt;=84,"Achieving",G41&lt;=94,"Exceeding",G41&lt;=100,"Outstanding")</f>
        <v>Developing</v>
      </c>
      <c r="M41" s="25">
        <f>F41*_xlfn.XLOOKUP(L41,Lookup_Performance!$C$2:$C$6,Lookup_Performance!$D$2:$D$6,0)</f>
        <v>1150.28</v>
      </c>
    </row>
    <row r="42" spans="1:13" x14ac:dyDescent="0.35">
      <c r="A42" s="4" t="s">
        <v>80</v>
      </c>
      <c r="B42" s="4" t="s">
        <v>7</v>
      </c>
      <c r="C42" s="4" t="s">
        <v>28</v>
      </c>
      <c r="D42" s="16" t="s">
        <v>35</v>
      </c>
      <c r="E42" s="7">
        <v>42987</v>
      </c>
      <c r="F42" s="17">
        <v>86245</v>
      </c>
      <c r="G42" s="4">
        <v>71</v>
      </c>
      <c r="H42" s="16" t="s">
        <v>36</v>
      </c>
      <c r="I42" s="16" t="str">
        <f>_xlfn.TEXTJOIN(" ",TRUE, Raw_Employee_Data!$B42,Raw_Employee_Data!$C42)</f>
        <v>Emily Wilson</v>
      </c>
      <c r="J42" s="11" t="str">
        <f>_xlfn.XLOOKUP(D42,Lookup_Departments!A:A,Lookup_Departments!B:B)</f>
        <v>Sales</v>
      </c>
      <c r="K42" s="11">
        <f t="shared" ca="1" si="0"/>
        <v>8</v>
      </c>
      <c r="L42" t="str" cm="1">
        <f t="array" ref="L42">_xlfn.IFS(G42&lt;=49,"Needs Improvement",G42&lt;=69,"Developing",G42&lt;=84,"Achieving",G42&lt;=94,"Exceeding",G42&lt;=100,"Outstanding")</f>
        <v>Achieving</v>
      </c>
      <c r="M42" s="25">
        <f>F42*_xlfn.XLOOKUP(L42,Lookup_Performance!$C$2:$C$6,Lookup_Performance!$D$2:$D$6,0)</f>
        <v>4312.25</v>
      </c>
    </row>
    <row r="43" spans="1:13" x14ac:dyDescent="0.35">
      <c r="A43" s="5" t="s">
        <v>81</v>
      </c>
      <c r="B43" s="5" t="s">
        <v>82</v>
      </c>
      <c r="C43" s="5" t="s">
        <v>12</v>
      </c>
      <c r="D43" s="14" t="s">
        <v>35</v>
      </c>
      <c r="E43" s="7">
        <v>43181</v>
      </c>
      <c r="F43" s="15">
        <v>52407</v>
      </c>
      <c r="G43" s="5">
        <v>55</v>
      </c>
      <c r="H43" s="14" t="s">
        <v>84</v>
      </c>
      <c r="I43" s="14" t="str">
        <f>_xlfn.TEXTJOIN(" ",TRUE, Raw_Employee_Data!$B43,Raw_Employee_Data!$C43)</f>
        <v>David Hernandez</v>
      </c>
      <c r="J43" s="11" t="str">
        <f>_xlfn.XLOOKUP(D43,Lookup_Departments!A:A,Lookup_Departments!B:B)</f>
        <v>Sales</v>
      </c>
      <c r="K43" s="11">
        <f t="shared" ca="1" si="0"/>
        <v>8</v>
      </c>
      <c r="L43" t="str" cm="1">
        <f t="array" ref="L43">_xlfn.IFS(G43&lt;=49,"Needs Improvement",G43&lt;=69,"Developing",G43&lt;=84,"Achieving",G43&lt;=94,"Exceeding",G43&lt;=100,"Outstanding")</f>
        <v>Developing</v>
      </c>
      <c r="M43" s="25">
        <f>F43*_xlfn.XLOOKUP(L43,Lookup_Performance!$C$2:$C$6,Lookup_Performance!$D$2:$D$6,0)</f>
        <v>1048.1400000000001</v>
      </c>
    </row>
    <row r="44" spans="1:13" x14ac:dyDescent="0.35">
      <c r="A44" s="4" t="s">
        <v>83</v>
      </c>
      <c r="B44" s="4" t="s">
        <v>51</v>
      </c>
      <c r="C44" s="4" t="s">
        <v>22</v>
      </c>
      <c r="D44" s="16" t="s">
        <v>26</v>
      </c>
      <c r="E44" s="7">
        <v>44017</v>
      </c>
      <c r="F44" s="17">
        <v>66606</v>
      </c>
      <c r="G44" s="4">
        <v>93</v>
      </c>
      <c r="H44" s="16" t="s">
        <v>84</v>
      </c>
      <c r="I44" s="16" t="str">
        <f>_xlfn.TEXTJOIN(" ",TRUE, Raw_Employee_Data!$B44,Raw_Employee_Data!$C44)</f>
        <v>James Smith</v>
      </c>
      <c r="J44" s="11" t="str">
        <f>_xlfn.XLOOKUP(D44,Lookup_Departments!A:A,Lookup_Departments!B:B)</f>
        <v>Operations</v>
      </c>
      <c r="K44" s="11">
        <f t="shared" ca="1" si="0"/>
        <v>6</v>
      </c>
      <c r="L44" t="str" cm="1">
        <f t="array" ref="L44">_xlfn.IFS(G44&lt;=49,"Needs Improvement",G44&lt;=69,"Developing",G44&lt;=84,"Achieving",G44&lt;=94,"Exceeding",G44&lt;=100,"Outstanding")</f>
        <v>Exceeding</v>
      </c>
      <c r="M44" s="25">
        <f>F44*_xlfn.XLOOKUP(L44,Lookup_Performance!$C$2:$C$6,Lookup_Performance!$D$2:$D$6,0)</f>
        <v>5328.4800000000005</v>
      </c>
    </row>
    <row r="45" spans="1:13" x14ac:dyDescent="0.35">
      <c r="A45" s="5" t="s">
        <v>85</v>
      </c>
      <c r="B45" s="5" t="s">
        <v>70</v>
      </c>
      <c r="C45" s="5" t="s">
        <v>42</v>
      </c>
      <c r="D45" s="14" t="s">
        <v>9</v>
      </c>
      <c r="E45" s="7">
        <v>43549</v>
      </c>
      <c r="F45" s="15">
        <v>81896</v>
      </c>
      <c r="G45" s="5">
        <v>79</v>
      </c>
      <c r="H45" s="14" t="s">
        <v>36</v>
      </c>
      <c r="I45" s="14" t="str">
        <f>_xlfn.TEXTJOIN(" ",TRUE, Raw_Employee_Data!$B45,Raw_Employee_Data!$C45)</f>
        <v>Sarah Williams</v>
      </c>
      <c r="J45" s="11" t="str">
        <f>_xlfn.XLOOKUP(D45,Lookup_Departments!A:A,Lookup_Departments!B:B)</f>
        <v>Information Technology</v>
      </c>
      <c r="K45" s="11">
        <f t="shared" ca="1" si="0"/>
        <v>7</v>
      </c>
      <c r="L45" t="str" cm="1">
        <f t="array" ref="L45">_xlfn.IFS(G45&lt;=49,"Needs Improvement",G45&lt;=69,"Developing",G45&lt;=84,"Achieving",G45&lt;=94,"Exceeding",G45&lt;=100,"Outstanding")</f>
        <v>Achieving</v>
      </c>
      <c r="M45" s="25">
        <f>F45*_xlfn.XLOOKUP(L45,Lookup_Performance!$C$2:$C$6,Lookup_Performance!$D$2:$D$6,0)</f>
        <v>4094.8</v>
      </c>
    </row>
    <row r="46" spans="1:13" x14ac:dyDescent="0.35">
      <c r="A46" s="4" t="s">
        <v>86</v>
      </c>
      <c r="B46" s="4" t="s">
        <v>56</v>
      </c>
      <c r="C46" s="4" t="s">
        <v>54</v>
      </c>
      <c r="D46" s="16" t="s">
        <v>35</v>
      </c>
      <c r="E46" s="7">
        <v>43716</v>
      </c>
      <c r="F46" s="17">
        <v>78402</v>
      </c>
      <c r="G46" s="4">
        <v>54</v>
      </c>
      <c r="H46" s="16" t="s">
        <v>36</v>
      </c>
      <c r="I46" s="16" t="str">
        <f>_xlfn.TEXTJOIN(" ",TRUE, Raw_Employee_Data!$B46,Raw_Employee_Data!$C46)</f>
        <v>Amanda Lopez</v>
      </c>
      <c r="J46" s="11" t="str">
        <f>_xlfn.XLOOKUP(D46,Lookup_Departments!A:A,Lookup_Departments!B:B)</f>
        <v>Sales</v>
      </c>
      <c r="K46" s="11">
        <f t="shared" ca="1" si="0"/>
        <v>6</v>
      </c>
      <c r="L46" t="str" cm="1">
        <f t="array" ref="L46">_xlfn.IFS(G46&lt;=49,"Needs Improvement",G46&lt;=69,"Developing",G46&lt;=84,"Achieving",G46&lt;=94,"Exceeding",G46&lt;=100,"Outstanding")</f>
        <v>Developing</v>
      </c>
      <c r="M46" s="25">
        <f>F46*_xlfn.XLOOKUP(L46,Lookup_Performance!$C$2:$C$6,Lookup_Performance!$D$2:$D$6,0)</f>
        <v>1568.04</v>
      </c>
    </row>
    <row r="47" spans="1:13" x14ac:dyDescent="0.35">
      <c r="A47" s="5" t="s">
        <v>87</v>
      </c>
      <c r="B47" s="5" t="s">
        <v>21</v>
      </c>
      <c r="C47" s="5" t="s">
        <v>54</v>
      </c>
      <c r="D47" s="14" t="s">
        <v>26</v>
      </c>
      <c r="E47" s="7">
        <v>42565</v>
      </c>
      <c r="F47" s="15">
        <v>105498</v>
      </c>
      <c r="G47" s="5">
        <v>76</v>
      </c>
      <c r="H47" s="14" t="s">
        <v>23</v>
      </c>
      <c r="I47" s="14" t="str">
        <f>_xlfn.TEXTJOIN(" ",TRUE, Raw_Employee_Data!$B47,Raw_Employee_Data!$C47)</f>
        <v>Thomas Lopez</v>
      </c>
      <c r="J47" s="11" t="str">
        <f>_xlfn.XLOOKUP(D47,Lookup_Departments!A:A,Lookup_Departments!B:B)</f>
        <v>Operations</v>
      </c>
      <c r="K47" s="11">
        <f t="shared" ca="1" si="0"/>
        <v>9</v>
      </c>
      <c r="L47" t="str" cm="1">
        <f t="array" ref="L47">_xlfn.IFS(G47&lt;=49,"Needs Improvement",G47&lt;=69,"Developing",G47&lt;=84,"Achieving",G47&lt;=94,"Exceeding",G47&lt;=100,"Outstanding")</f>
        <v>Achieving</v>
      </c>
      <c r="M47" s="25">
        <f>F47*_xlfn.XLOOKUP(L47,Lookup_Performance!$C$2:$C$6,Lookup_Performance!$D$2:$D$6,0)</f>
        <v>5274.9000000000005</v>
      </c>
    </row>
    <row r="48" spans="1:13" x14ac:dyDescent="0.35">
      <c r="A48" s="4" t="s">
        <v>88</v>
      </c>
      <c r="B48" s="4" t="s">
        <v>77</v>
      </c>
      <c r="C48" s="4" t="s">
        <v>25</v>
      </c>
      <c r="D48" s="16" t="s">
        <v>13</v>
      </c>
      <c r="E48" s="7">
        <v>42470</v>
      </c>
      <c r="F48" s="17">
        <v>91749</v>
      </c>
      <c r="G48" s="4">
        <v>72</v>
      </c>
      <c r="H48" s="16" t="s">
        <v>84</v>
      </c>
      <c r="I48" s="16" t="str">
        <f>_xlfn.TEXTJOIN(" ",TRUE, Raw_Employee_Data!$B48,Raw_Employee_Data!$C48)</f>
        <v>Melissa Johnson</v>
      </c>
      <c r="J48" s="11" t="str">
        <f>_xlfn.XLOOKUP(D48,Lookup_Departments!A:A,Lookup_Departments!B:B)</f>
        <v>Marketing</v>
      </c>
      <c r="K48" s="11">
        <f t="shared" ca="1" si="0"/>
        <v>10</v>
      </c>
      <c r="L48" t="str" cm="1">
        <f t="array" ref="L48">_xlfn.IFS(G48&lt;=49,"Needs Improvement",G48&lt;=69,"Developing",G48&lt;=84,"Achieving",G48&lt;=94,"Exceeding",G48&lt;=100,"Outstanding")</f>
        <v>Achieving</v>
      </c>
      <c r="M48" s="25">
        <f>F48*_xlfn.XLOOKUP(L48,Lookup_Performance!$C$2:$C$6,Lookup_Performance!$D$2:$D$6,0)</f>
        <v>4587.45</v>
      </c>
    </row>
    <row r="49" spans="1:13" x14ac:dyDescent="0.35">
      <c r="A49" s="5" t="s">
        <v>89</v>
      </c>
      <c r="B49" s="5" t="s">
        <v>56</v>
      </c>
      <c r="C49" s="5" t="s">
        <v>25</v>
      </c>
      <c r="D49" s="14" t="s">
        <v>26</v>
      </c>
      <c r="E49" s="7">
        <v>43656</v>
      </c>
      <c r="F49" s="15">
        <v>99935</v>
      </c>
      <c r="G49" s="5">
        <v>84</v>
      </c>
      <c r="H49" s="14" t="s">
        <v>23</v>
      </c>
      <c r="I49" s="14" t="str">
        <f>_xlfn.TEXTJOIN(" ",TRUE, Raw_Employee_Data!$B49,Raw_Employee_Data!$C49)</f>
        <v>Amanda Johnson</v>
      </c>
      <c r="J49" s="11" t="str">
        <f>_xlfn.XLOOKUP(D49,Lookup_Departments!A:A,Lookup_Departments!B:B)</f>
        <v>Operations</v>
      </c>
      <c r="K49" s="11">
        <f t="shared" ca="1" si="0"/>
        <v>6</v>
      </c>
      <c r="L49" t="str" cm="1">
        <f t="array" ref="L49">_xlfn.IFS(G49&lt;=49,"Needs Improvement",G49&lt;=69,"Developing",G49&lt;=84,"Achieving",G49&lt;=94,"Exceeding",G49&lt;=100,"Outstanding")</f>
        <v>Achieving</v>
      </c>
      <c r="M49" s="25">
        <f>F49*_xlfn.XLOOKUP(L49,Lookup_Performance!$C$2:$C$6,Lookup_Performance!$D$2:$D$6,0)</f>
        <v>4996.75</v>
      </c>
    </row>
    <row r="50" spans="1:13" x14ac:dyDescent="0.35">
      <c r="A50" s="4" t="s">
        <v>90</v>
      </c>
      <c r="B50" s="4" t="s">
        <v>17</v>
      </c>
      <c r="C50" s="4" t="s">
        <v>49</v>
      </c>
      <c r="D50" s="16" t="s">
        <v>9</v>
      </c>
      <c r="E50" s="7">
        <v>44437</v>
      </c>
      <c r="F50" s="17">
        <v>83531</v>
      </c>
      <c r="G50" s="4">
        <v>30</v>
      </c>
      <c r="H50" s="16" t="s">
        <v>36</v>
      </c>
      <c r="I50" s="16" t="str">
        <f>_xlfn.TEXTJOIN(" ",TRUE, Raw_Employee_Data!$B50,Raw_Employee_Data!$C50)</f>
        <v>John Davis</v>
      </c>
      <c r="J50" s="11" t="str">
        <f>_xlfn.XLOOKUP(D50,Lookup_Departments!A:A,Lookup_Departments!B:B)</f>
        <v>Information Technology</v>
      </c>
      <c r="K50" s="11">
        <f t="shared" ca="1" si="0"/>
        <v>4</v>
      </c>
      <c r="L50" t="str" cm="1">
        <f t="array" ref="L50">_xlfn.IFS(G50&lt;=49,"Needs Improvement",G50&lt;=69,"Developing",G50&lt;=84,"Achieving",G50&lt;=94,"Exceeding",G50&lt;=100,"Outstanding")</f>
        <v>Needs Improvement</v>
      </c>
      <c r="M50" s="25">
        <f>F50*_xlfn.XLOOKUP(L50,Lookup_Performance!$C$2:$C$6,Lookup_Performance!$D$2:$D$6,0)</f>
        <v>0</v>
      </c>
    </row>
    <row r="51" spans="1:13" x14ac:dyDescent="0.35">
      <c r="A51" s="5" t="s">
        <v>91</v>
      </c>
      <c r="B51" s="5" t="s">
        <v>51</v>
      </c>
      <c r="C51" s="5" t="s">
        <v>25</v>
      </c>
      <c r="D51" s="14" t="s">
        <v>13</v>
      </c>
      <c r="E51" s="7">
        <v>42761</v>
      </c>
      <c r="F51" s="15">
        <v>75023</v>
      </c>
      <c r="G51" s="5">
        <v>68</v>
      </c>
      <c r="H51" s="14" t="s">
        <v>36</v>
      </c>
      <c r="I51" s="14" t="str">
        <f>_xlfn.TEXTJOIN(" ",TRUE, Raw_Employee_Data!$B51,Raw_Employee_Data!$C51)</f>
        <v>James Johnson</v>
      </c>
      <c r="J51" s="11" t="str">
        <f>_xlfn.XLOOKUP(D51,Lookup_Departments!A:A,Lookup_Departments!B:B)</f>
        <v>Marketing</v>
      </c>
      <c r="K51" s="11">
        <f t="shared" ca="1" si="0"/>
        <v>9</v>
      </c>
      <c r="L51" t="str" cm="1">
        <f t="array" ref="L51">_xlfn.IFS(G51&lt;=49,"Needs Improvement",G51&lt;=69,"Developing",G51&lt;=84,"Achieving",G51&lt;=94,"Exceeding",G51&lt;=100,"Outstanding")</f>
        <v>Developing</v>
      </c>
      <c r="M51" s="25">
        <f>F51*_xlfn.XLOOKUP(L51,Lookup_Performance!$C$2:$C$6,Lookup_Performance!$D$2:$D$6,0)</f>
        <v>1500.46</v>
      </c>
    </row>
    <row r="52" spans="1:13" x14ac:dyDescent="0.35">
      <c r="A52" s="4" t="s">
        <v>92</v>
      </c>
      <c r="B52" s="4" t="s">
        <v>41</v>
      </c>
      <c r="C52" s="4" t="s">
        <v>49</v>
      </c>
      <c r="D52" s="16" t="s">
        <v>72</v>
      </c>
      <c r="E52" s="7">
        <v>43981</v>
      </c>
      <c r="F52" s="17">
        <v>93290</v>
      </c>
      <c r="G52" s="4">
        <v>53</v>
      </c>
      <c r="H52" s="16" t="s">
        <v>84</v>
      </c>
      <c r="I52" s="16" t="str">
        <f>_xlfn.TEXTJOIN(" ",TRUE, Raw_Employee_Data!$B52,Raw_Employee_Data!$C52)</f>
        <v>Jane Davis</v>
      </c>
      <c r="J52" s="11" t="str">
        <f>_xlfn.XLOOKUP(D52,Lookup_Departments!A:A,Lookup_Departments!B:B)</f>
        <v>Human Resources</v>
      </c>
      <c r="K52" s="11">
        <f t="shared" ca="1" si="0"/>
        <v>6</v>
      </c>
      <c r="L52" t="str" cm="1">
        <f t="array" ref="L52">_xlfn.IFS(G52&lt;=49,"Needs Improvement",G52&lt;=69,"Developing",G52&lt;=84,"Achieving",G52&lt;=94,"Exceeding",G52&lt;=100,"Outstanding")</f>
        <v>Developing</v>
      </c>
      <c r="M52" s="25">
        <f>F52*_xlfn.XLOOKUP(L52,Lookup_Performance!$C$2:$C$6,Lookup_Performance!$D$2:$D$6,0)</f>
        <v>1865.8</v>
      </c>
    </row>
    <row r="53" spans="1:13" x14ac:dyDescent="0.35">
      <c r="A53" s="5" t="s">
        <v>93</v>
      </c>
      <c r="B53" s="5" t="s">
        <v>11</v>
      </c>
      <c r="C53" s="5" t="s">
        <v>49</v>
      </c>
      <c r="D53" s="14" t="s">
        <v>26</v>
      </c>
      <c r="E53" s="7">
        <v>44612</v>
      </c>
      <c r="F53" s="15">
        <v>115527</v>
      </c>
      <c r="G53" s="5">
        <v>63</v>
      </c>
      <c r="H53" s="14" t="s">
        <v>36</v>
      </c>
      <c r="I53" s="14" t="str">
        <f>_xlfn.TEXTJOIN(" ",TRUE, Raw_Employee_Data!$B53,Raw_Employee_Data!$C53)</f>
        <v>Richard Davis</v>
      </c>
      <c r="J53" s="11" t="str">
        <f>_xlfn.XLOOKUP(D53,Lookup_Departments!A:A,Lookup_Departments!B:B)</f>
        <v>Operations</v>
      </c>
      <c r="K53" s="11">
        <f t="shared" ca="1" si="0"/>
        <v>4</v>
      </c>
      <c r="L53" t="str" cm="1">
        <f t="array" ref="L53">_xlfn.IFS(G53&lt;=49,"Needs Improvement",G53&lt;=69,"Developing",G53&lt;=84,"Achieving",G53&lt;=94,"Exceeding",G53&lt;=100,"Outstanding")</f>
        <v>Developing</v>
      </c>
      <c r="M53" s="25">
        <f>F53*_xlfn.XLOOKUP(L53,Lookup_Performance!$C$2:$C$6,Lookup_Performance!$D$2:$D$6,0)</f>
        <v>2310.54</v>
      </c>
    </row>
    <row r="54" spans="1:13" x14ac:dyDescent="0.35">
      <c r="A54" s="4" t="s">
        <v>94</v>
      </c>
      <c r="B54" s="4" t="s">
        <v>21</v>
      </c>
      <c r="C54" s="4" t="s">
        <v>32</v>
      </c>
      <c r="D54" s="16" t="s">
        <v>19</v>
      </c>
      <c r="E54" s="7">
        <v>42628</v>
      </c>
      <c r="F54" s="17">
        <v>55920</v>
      </c>
      <c r="G54" s="4">
        <v>84</v>
      </c>
      <c r="H54" s="16" t="s">
        <v>36</v>
      </c>
      <c r="I54" s="16" t="str">
        <f>_xlfn.TEXTJOIN(" ",TRUE, Raw_Employee_Data!$B54,Raw_Employee_Data!$C54)</f>
        <v>Thomas Rodriguez</v>
      </c>
      <c r="J54" s="11" t="str">
        <f>_xlfn.XLOOKUP(D54,Lookup_Departments!A:A,Lookup_Departments!B:B)</f>
        <v>Finance</v>
      </c>
      <c r="K54" s="11">
        <f t="shared" ca="1" si="0"/>
        <v>9</v>
      </c>
      <c r="L54" t="str" cm="1">
        <f t="array" ref="L54">_xlfn.IFS(G54&lt;=49,"Needs Improvement",G54&lt;=69,"Developing",G54&lt;=84,"Achieving",G54&lt;=94,"Exceeding",G54&lt;=100,"Outstanding")</f>
        <v>Achieving</v>
      </c>
      <c r="M54" s="25">
        <f>F54*_xlfn.XLOOKUP(L54,Lookup_Performance!$C$2:$C$6,Lookup_Performance!$D$2:$D$6,0)</f>
        <v>2796</v>
      </c>
    </row>
    <row r="55" spans="1:13" x14ac:dyDescent="0.35">
      <c r="A55" s="5" t="s">
        <v>95</v>
      </c>
      <c r="B55" s="5" t="s">
        <v>7</v>
      </c>
      <c r="C55" s="5" t="s">
        <v>25</v>
      </c>
      <c r="D55" s="14" t="s">
        <v>35</v>
      </c>
      <c r="E55" s="7">
        <v>43656</v>
      </c>
      <c r="F55" s="15">
        <v>80189</v>
      </c>
      <c r="G55" s="5">
        <v>30</v>
      </c>
      <c r="H55" s="14" t="s">
        <v>36</v>
      </c>
      <c r="I55" s="14" t="str">
        <f>_xlfn.TEXTJOIN(" ",TRUE, Raw_Employee_Data!$B55,Raw_Employee_Data!$C55)</f>
        <v>Emily Johnson</v>
      </c>
      <c r="J55" s="11" t="str">
        <f>_xlfn.XLOOKUP(D55,Lookup_Departments!A:A,Lookup_Departments!B:B)</f>
        <v>Sales</v>
      </c>
      <c r="K55" s="11">
        <f t="shared" ca="1" si="0"/>
        <v>6</v>
      </c>
      <c r="L55" t="str" cm="1">
        <f t="array" ref="L55">_xlfn.IFS(G55&lt;=49,"Needs Improvement",G55&lt;=69,"Developing",G55&lt;=84,"Achieving",G55&lt;=94,"Exceeding",G55&lt;=100,"Outstanding")</f>
        <v>Needs Improvement</v>
      </c>
      <c r="M55" s="25">
        <f>F55*_xlfn.XLOOKUP(L55,Lookup_Performance!$C$2:$C$6,Lookup_Performance!$D$2:$D$6,0)</f>
        <v>0</v>
      </c>
    </row>
    <row r="56" spans="1:13" x14ac:dyDescent="0.35">
      <c r="A56" s="4" t="s">
        <v>96</v>
      </c>
      <c r="B56" s="4" t="s">
        <v>7</v>
      </c>
      <c r="C56" s="4" t="s">
        <v>97</v>
      </c>
      <c r="D56" s="16" t="s">
        <v>72</v>
      </c>
      <c r="E56" s="7">
        <v>43464</v>
      </c>
      <c r="F56" s="17">
        <v>118947</v>
      </c>
      <c r="G56" s="4">
        <v>96</v>
      </c>
      <c r="H56" s="16" t="s">
        <v>36</v>
      </c>
      <c r="I56" s="16" t="str">
        <f>_xlfn.TEXTJOIN(" ",TRUE, Raw_Employee_Data!$B56,Raw_Employee_Data!$C56)</f>
        <v>Emily Garcia</v>
      </c>
      <c r="J56" s="11" t="str">
        <f>_xlfn.XLOOKUP(D56,Lookup_Departments!A:A,Lookup_Departments!B:B)</f>
        <v>Human Resources</v>
      </c>
      <c r="K56" s="11">
        <f t="shared" ca="1" si="0"/>
        <v>7</v>
      </c>
      <c r="L56" t="str" cm="1">
        <f t="array" ref="L56">_xlfn.IFS(G56&lt;=49,"Needs Improvement",G56&lt;=69,"Developing",G56&lt;=84,"Achieving",G56&lt;=94,"Exceeding",G56&lt;=100,"Outstanding")</f>
        <v>Outstanding</v>
      </c>
      <c r="M56" s="25">
        <f>F56*_xlfn.XLOOKUP(L56,Lookup_Performance!$C$2:$C$6,Lookup_Performance!$D$2:$D$6,0)</f>
        <v>14273.64</v>
      </c>
    </row>
    <row r="57" spans="1:13" x14ac:dyDescent="0.35">
      <c r="A57" s="5" t="s">
        <v>98</v>
      </c>
      <c r="B57" s="5" t="s">
        <v>41</v>
      </c>
      <c r="C57" s="5" t="s">
        <v>99</v>
      </c>
      <c r="D57" s="14" t="s">
        <v>9</v>
      </c>
      <c r="E57" s="7">
        <v>44189</v>
      </c>
      <c r="F57" s="15">
        <v>82713.429999999993</v>
      </c>
      <c r="G57" s="5">
        <v>54</v>
      </c>
      <c r="H57" s="14" t="s">
        <v>36</v>
      </c>
      <c r="I57" s="14" t="str">
        <f>_xlfn.TEXTJOIN(" ",TRUE, Raw_Employee_Data!$B57,Raw_Employee_Data!$C57)</f>
        <v>Jane Anderson</v>
      </c>
      <c r="J57" s="11" t="str">
        <f>_xlfn.XLOOKUP(D57,Lookup_Departments!A:A,Lookup_Departments!B:B)</f>
        <v>Information Technology</v>
      </c>
      <c r="K57" s="11">
        <f t="shared" ca="1" si="0"/>
        <v>5</v>
      </c>
      <c r="L57" t="str" cm="1">
        <f t="array" ref="L57">_xlfn.IFS(G57&lt;=49,"Needs Improvement",G57&lt;=69,"Developing",G57&lt;=84,"Achieving",G57&lt;=94,"Exceeding",G57&lt;=100,"Outstanding")</f>
        <v>Developing</v>
      </c>
      <c r="M57" s="25">
        <f>F57*_xlfn.XLOOKUP(L57,Lookup_Performance!$C$2:$C$6,Lookup_Performance!$D$2:$D$6,0)</f>
        <v>1654.2685999999999</v>
      </c>
    </row>
    <row r="58" spans="1:13" x14ac:dyDescent="0.35">
      <c r="A58" s="4" t="s">
        <v>100</v>
      </c>
      <c r="B58" s="4" t="s">
        <v>21</v>
      </c>
      <c r="C58" s="4" t="s">
        <v>97</v>
      </c>
      <c r="D58" s="16" t="s">
        <v>26</v>
      </c>
      <c r="E58" s="7">
        <v>45053</v>
      </c>
      <c r="F58" s="17">
        <v>82713.429999999993</v>
      </c>
      <c r="G58" s="4">
        <v>75</v>
      </c>
      <c r="H58" s="16" t="s">
        <v>36</v>
      </c>
      <c r="I58" s="16" t="str">
        <f>_xlfn.TEXTJOIN(" ",TRUE, Raw_Employee_Data!$B58,Raw_Employee_Data!$C58)</f>
        <v>Thomas Garcia</v>
      </c>
      <c r="J58" s="11" t="str">
        <f>_xlfn.XLOOKUP(D58,Lookup_Departments!A:A,Lookup_Departments!B:B)</f>
        <v>Operations</v>
      </c>
      <c r="K58" s="11">
        <f t="shared" ca="1" si="0"/>
        <v>3</v>
      </c>
      <c r="L58" t="str" cm="1">
        <f t="array" ref="L58">_xlfn.IFS(G58&lt;=49,"Needs Improvement",G58&lt;=69,"Developing",G58&lt;=84,"Achieving",G58&lt;=94,"Exceeding",G58&lt;=100,"Outstanding")</f>
        <v>Achieving</v>
      </c>
      <c r="M58" s="25">
        <f>F58*_xlfn.XLOOKUP(L58,Lookup_Performance!$C$2:$C$6,Lookup_Performance!$D$2:$D$6,0)</f>
        <v>4135.6714999999995</v>
      </c>
    </row>
    <row r="59" spans="1:13" x14ac:dyDescent="0.35">
      <c r="A59" s="5" t="s">
        <v>101</v>
      </c>
      <c r="B59" s="5" t="s">
        <v>82</v>
      </c>
      <c r="C59" s="5" t="s">
        <v>18</v>
      </c>
      <c r="D59" s="14" t="s">
        <v>72</v>
      </c>
      <c r="E59" s="7">
        <v>44148</v>
      </c>
      <c r="F59" s="15">
        <v>91655</v>
      </c>
      <c r="G59" s="5">
        <v>95</v>
      </c>
      <c r="H59" s="14" t="s">
        <v>23</v>
      </c>
      <c r="I59" s="14" t="str">
        <f>_xlfn.TEXTJOIN(" ",TRUE, Raw_Employee_Data!$B59,Raw_Employee_Data!$C59)</f>
        <v>David Martinez</v>
      </c>
      <c r="J59" s="11" t="str">
        <f>_xlfn.XLOOKUP(D59,Lookup_Departments!A:A,Lookup_Departments!B:B)</f>
        <v>Human Resources</v>
      </c>
      <c r="K59" s="11">
        <f t="shared" ca="1" si="0"/>
        <v>5</v>
      </c>
      <c r="L59" t="str" cm="1">
        <f t="array" ref="L59">_xlfn.IFS(G59&lt;=49,"Needs Improvement",G59&lt;=69,"Developing",G59&lt;=84,"Achieving",G59&lt;=94,"Exceeding",G59&lt;=100,"Outstanding")</f>
        <v>Outstanding</v>
      </c>
      <c r="M59" s="25">
        <f>F59*_xlfn.XLOOKUP(L59,Lookup_Performance!$C$2:$C$6,Lookup_Performance!$D$2:$D$6,0)</f>
        <v>10998.6</v>
      </c>
    </row>
    <row r="60" spans="1:13" x14ac:dyDescent="0.35">
      <c r="A60" s="4" t="s">
        <v>102</v>
      </c>
      <c r="B60" s="4" t="s">
        <v>7</v>
      </c>
      <c r="C60" s="4" t="s">
        <v>8</v>
      </c>
      <c r="D60" s="16" t="s">
        <v>9</v>
      </c>
      <c r="E60" s="7">
        <v>43283</v>
      </c>
      <c r="F60" s="17">
        <v>49435</v>
      </c>
      <c r="G60" s="4">
        <v>68</v>
      </c>
      <c r="H60" s="16" t="s">
        <v>36</v>
      </c>
      <c r="I60" s="16" t="str">
        <f>_xlfn.TEXTJOIN(" ",TRUE, Raw_Employee_Data!$B60,Raw_Employee_Data!$C60)</f>
        <v>Emily Brown</v>
      </c>
      <c r="J60" s="11" t="str">
        <f>_xlfn.XLOOKUP(D60,Lookup_Departments!A:A,Lookup_Departments!B:B)</f>
        <v>Information Technology</v>
      </c>
      <c r="K60" s="11">
        <f t="shared" ca="1" si="0"/>
        <v>8</v>
      </c>
      <c r="L60" t="str" cm="1">
        <f t="array" ref="L60">_xlfn.IFS(G60&lt;=49,"Needs Improvement",G60&lt;=69,"Developing",G60&lt;=84,"Achieving",G60&lt;=94,"Exceeding",G60&lt;=100,"Outstanding")</f>
        <v>Developing</v>
      </c>
      <c r="M60" s="25">
        <f>F60*_xlfn.XLOOKUP(L60,Lookup_Performance!$C$2:$C$6,Lookup_Performance!$D$2:$D$6,0)</f>
        <v>988.7</v>
      </c>
    </row>
    <row r="61" spans="1:13" x14ac:dyDescent="0.35">
      <c r="A61" s="5" t="s">
        <v>103</v>
      </c>
      <c r="B61" s="5" t="s">
        <v>7</v>
      </c>
      <c r="C61" s="5" t="s">
        <v>28</v>
      </c>
      <c r="D61" s="14" t="s">
        <v>35</v>
      </c>
      <c r="E61" s="7">
        <v>45255</v>
      </c>
      <c r="F61" s="15">
        <v>110381</v>
      </c>
      <c r="G61" s="5">
        <v>93</v>
      </c>
      <c r="H61" s="14" t="s">
        <v>36</v>
      </c>
      <c r="I61" s="14" t="str">
        <f>_xlfn.TEXTJOIN(" ",TRUE, Raw_Employee_Data!$B61,Raw_Employee_Data!$C61)</f>
        <v>Emily Wilson</v>
      </c>
      <c r="J61" s="11" t="str">
        <f>_xlfn.XLOOKUP(D61,Lookup_Departments!A:A,Lookup_Departments!B:B)</f>
        <v>Sales</v>
      </c>
      <c r="K61" s="11">
        <f t="shared" ca="1" si="0"/>
        <v>2</v>
      </c>
      <c r="L61" t="str" cm="1">
        <f t="array" ref="L61">_xlfn.IFS(G61&lt;=49,"Needs Improvement",G61&lt;=69,"Developing",G61&lt;=84,"Achieving",G61&lt;=94,"Exceeding",G61&lt;=100,"Outstanding")</f>
        <v>Exceeding</v>
      </c>
      <c r="M61" s="25">
        <f>F61*_xlfn.XLOOKUP(L61,Lookup_Performance!$C$2:$C$6,Lookup_Performance!$D$2:$D$6,0)</f>
        <v>8830.48</v>
      </c>
    </row>
    <row r="62" spans="1:13" x14ac:dyDescent="0.35">
      <c r="A62" s="4" t="s">
        <v>104</v>
      </c>
      <c r="B62" s="4" t="s">
        <v>34</v>
      </c>
      <c r="C62" s="4" t="s">
        <v>99</v>
      </c>
      <c r="D62" s="16" t="s">
        <v>72</v>
      </c>
      <c r="E62" s="7">
        <v>45217</v>
      </c>
      <c r="F62" s="17">
        <v>114748</v>
      </c>
      <c r="G62" s="4">
        <v>33</v>
      </c>
      <c r="H62" s="16" t="s">
        <v>36</v>
      </c>
      <c r="I62" s="16" t="str">
        <f>_xlfn.TEXTJOIN(" ",TRUE, Raw_Employee_Data!$B62,Raw_Employee_Data!$C62)</f>
        <v>Michael Anderson</v>
      </c>
      <c r="J62" s="11" t="str">
        <f>_xlfn.XLOOKUP(D62,Lookup_Departments!A:A,Lookup_Departments!B:B)</f>
        <v>Human Resources</v>
      </c>
      <c r="K62" s="11">
        <f t="shared" ca="1" si="0"/>
        <v>2</v>
      </c>
      <c r="L62" t="str" cm="1">
        <f t="array" ref="L62">_xlfn.IFS(G62&lt;=49,"Needs Improvement",G62&lt;=69,"Developing",G62&lt;=84,"Achieving",G62&lt;=94,"Exceeding",G62&lt;=100,"Outstanding")</f>
        <v>Needs Improvement</v>
      </c>
      <c r="M62" s="25">
        <f>F62*_xlfn.XLOOKUP(L62,Lookup_Performance!$C$2:$C$6,Lookup_Performance!$D$2:$D$6,0)</f>
        <v>0</v>
      </c>
    </row>
    <row r="63" spans="1:13" x14ac:dyDescent="0.35">
      <c r="A63" s="5" t="s">
        <v>105</v>
      </c>
      <c r="B63" s="5" t="s">
        <v>45</v>
      </c>
      <c r="C63" s="5" t="s">
        <v>25</v>
      </c>
      <c r="D63" s="14" t="s">
        <v>26</v>
      </c>
      <c r="E63" s="7">
        <v>43960</v>
      </c>
      <c r="F63" s="15">
        <v>63302</v>
      </c>
      <c r="G63" s="5">
        <v>91</v>
      </c>
      <c r="H63" s="14" t="s">
        <v>36</v>
      </c>
      <c r="I63" s="14" t="str">
        <f>_xlfn.TEXTJOIN(" ",TRUE, Raw_Employee_Data!$B63,Raw_Employee_Data!$C63)</f>
        <v>Robert Johnson</v>
      </c>
      <c r="J63" s="11" t="str">
        <f>_xlfn.XLOOKUP(D63,Lookup_Departments!A:A,Lookup_Departments!B:B)</f>
        <v>Operations</v>
      </c>
      <c r="K63" s="11">
        <f t="shared" ca="1" si="0"/>
        <v>6</v>
      </c>
      <c r="L63" t="str" cm="1">
        <f t="array" ref="L63">_xlfn.IFS(G63&lt;=49,"Needs Improvement",G63&lt;=69,"Developing",G63&lt;=84,"Achieving",G63&lt;=94,"Exceeding",G63&lt;=100,"Outstanding")</f>
        <v>Exceeding</v>
      </c>
      <c r="M63" s="25">
        <f>F63*_xlfn.XLOOKUP(L63,Lookup_Performance!$C$2:$C$6,Lookup_Performance!$D$2:$D$6,0)</f>
        <v>5064.16</v>
      </c>
    </row>
    <row r="64" spans="1:13" x14ac:dyDescent="0.35">
      <c r="A64" s="4" t="s">
        <v>106</v>
      </c>
      <c r="B64" s="4" t="s">
        <v>45</v>
      </c>
      <c r="C64" s="4" t="s">
        <v>38</v>
      </c>
      <c r="D64" s="16" t="s">
        <v>9</v>
      </c>
      <c r="E64" s="7">
        <v>42889</v>
      </c>
      <c r="F64" s="17">
        <v>75519</v>
      </c>
      <c r="G64" s="4">
        <v>64</v>
      </c>
      <c r="H64" s="16" t="s">
        <v>36</v>
      </c>
      <c r="I64" s="16" t="str">
        <f>_xlfn.TEXTJOIN(" ",TRUE, Raw_Employee_Data!$B64,Raw_Employee_Data!$C64)</f>
        <v>Robert Miller</v>
      </c>
      <c r="J64" s="11" t="str">
        <f>_xlfn.XLOOKUP(D64,Lookup_Departments!A:A,Lookup_Departments!B:B)</f>
        <v>Information Technology</v>
      </c>
      <c r="K64" s="11">
        <f t="shared" ca="1" si="0"/>
        <v>9</v>
      </c>
      <c r="L64" t="str" cm="1">
        <f t="array" ref="L64">_xlfn.IFS(G64&lt;=49,"Needs Improvement",G64&lt;=69,"Developing",G64&lt;=84,"Achieving",G64&lt;=94,"Exceeding",G64&lt;=100,"Outstanding")</f>
        <v>Developing</v>
      </c>
      <c r="M64" s="25">
        <f>F64*_xlfn.XLOOKUP(L64,Lookup_Performance!$C$2:$C$6,Lookup_Performance!$D$2:$D$6,0)</f>
        <v>1510.38</v>
      </c>
    </row>
    <row r="65" spans="1:13" x14ac:dyDescent="0.35">
      <c r="A65" s="5" t="s">
        <v>107</v>
      </c>
      <c r="B65" s="5" t="s">
        <v>41</v>
      </c>
      <c r="C65" s="5" t="s">
        <v>49</v>
      </c>
      <c r="D65" s="14" t="s">
        <v>19</v>
      </c>
      <c r="E65" s="7">
        <v>42122</v>
      </c>
      <c r="F65" s="15">
        <v>103891</v>
      </c>
      <c r="G65" s="5">
        <v>80</v>
      </c>
      <c r="H65" s="14" t="s">
        <v>23</v>
      </c>
      <c r="I65" s="14" t="str">
        <f>_xlfn.TEXTJOIN(" ",TRUE, Raw_Employee_Data!$B65,Raw_Employee_Data!$C65)</f>
        <v>Jane Davis</v>
      </c>
      <c r="J65" s="11" t="str">
        <f>_xlfn.XLOOKUP(D65,Lookup_Departments!A:A,Lookup_Departments!B:B)</f>
        <v>Finance</v>
      </c>
      <c r="K65" s="11">
        <f t="shared" ca="1" si="0"/>
        <v>11</v>
      </c>
      <c r="L65" t="str" cm="1">
        <f t="array" ref="L65">_xlfn.IFS(G65&lt;=49,"Needs Improvement",G65&lt;=69,"Developing",G65&lt;=84,"Achieving",G65&lt;=94,"Exceeding",G65&lt;=100,"Outstanding")</f>
        <v>Achieving</v>
      </c>
      <c r="M65" s="25">
        <f>F65*_xlfn.XLOOKUP(L65,Lookup_Performance!$C$2:$C$6,Lookup_Performance!$D$2:$D$6,0)</f>
        <v>5194.55</v>
      </c>
    </row>
    <row r="66" spans="1:13" x14ac:dyDescent="0.35">
      <c r="A66" s="4" t="s">
        <v>108</v>
      </c>
      <c r="B66" s="4" t="s">
        <v>21</v>
      </c>
      <c r="C66" s="4" t="s">
        <v>49</v>
      </c>
      <c r="D66" s="16" t="s">
        <v>26</v>
      </c>
      <c r="E66" s="7">
        <v>42838</v>
      </c>
      <c r="F66" s="17">
        <v>82713.429999999993</v>
      </c>
      <c r="G66" s="4">
        <v>46</v>
      </c>
      <c r="H66" s="16" t="s">
        <v>36</v>
      </c>
      <c r="I66" s="16" t="str">
        <f>_xlfn.TEXTJOIN(" ",TRUE, Raw_Employee_Data!$B66,Raw_Employee_Data!$C66)</f>
        <v>Thomas Davis</v>
      </c>
      <c r="J66" s="11" t="str">
        <f>_xlfn.XLOOKUP(D66,Lookup_Departments!A:A,Lookup_Departments!B:B)</f>
        <v>Operations</v>
      </c>
      <c r="K66" s="11">
        <f t="shared" ca="1" si="0"/>
        <v>9</v>
      </c>
      <c r="L66" t="str" cm="1">
        <f t="array" ref="L66">_xlfn.IFS(G66&lt;=49,"Needs Improvement",G66&lt;=69,"Developing",G66&lt;=84,"Achieving",G66&lt;=94,"Exceeding",G66&lt;=100,"Outstanding")</f>
        <v>Needs Improvement</v>
      </c>
      <c r="M66" s="25">
        <f>F66*_xlfn.XLOOKUP(L66,Lookup_Performance!$C$2:$C$6,Lookup_Performance!$D$2:$D$6,0)</f>
        <v>0</v>
      </c>
    </row>
    <row r="67" spans="1:13" x14ac:dyDescent="0.35">
      <c r="A67" s="5" t="s">
        <v>109</v>
      </c>
      <c r="B67" s="5" t="s">
        <v>21</v>
      </c>
      <c r="C67" s="5" t="s">
        <v>46</v>
      </c>
      <c r="D67" s="14" t="s">
        <v>13</v>
      </c>
      <c r="E67" s="7">
        <v>44827</v>
      </c>
      <c r="F67" s="15">
        <v>50936</v>
      </c>
      <c r="G67" s="5">
        <v>99</v>
      </c>
      <c r="H67" s="14" t="s">
        <v>36</v>
      </c>
      <c r="I67" s="14" t="str">
        <f>_xlfn.TEXTJOIN(" ",TRUE, Raw_Employee_Data!$B67,Raw_Employee_Data!$C67)</f>
        <v>Thomas Jones</v>
      </c>
      <c r="J67" s="11" t="str">
        <f>_xlfn.XLOOKUP(D67,Lookup_Departments!A:A,Lookup_Departments!B:B)</f>
        <v>Marketing</v>
      </c>
      <c r="K67" s="11">
        <f t="shared" ref="K67:K130" ca="1" si="1">DATEDIF(E67,TODAY(),"Y")</f>
        <v>3</v>
      </c>
      <c r="L67" t="str" cm="1">
        <f t="array" ref="L67">_xlfn.IFS(G67&lt;=49,"Needs Improvement",G67&lt;=69,"Developing",G67&lt;=84,"Achieving",G67&lt;=94,"Exceeding",G67&lt;=100,"Outstanding")</f>
        <v>Outstanding</v>
      </c>
      <c r="M67" s="25">
        <f>F67*_xlfn.XLOOKUP(L67,Lookup_Performance!$C$2:$C$6,Lookup_Performance!$D$2:$D$6,0)</f>
        <v>6112.32</v>
      </c>
    </row>
    <row r="68" spans="1:13" x14ac:dyDescent="0.35">
      <c r="A68" s="4" t="s">
        <v>110</v>
      </c>
      <c r="B68" s="4" t="s">
        <v>34</v>
      </c>
      <c r="C68" s="4" t="s">
        <v>38</v>
      </c>
      <c r="D68" s="16" t="s">
        <v>35</v>
      </c>
      <c r="E68" s="7">
        <v>42685</v>
      </c>
      <c r="F68" s="17">
        <v>111240</v>
      </c>
      <c r="G68" s="4">
        <v>68</v>
      </c>
      <c r="H68" s="16" t="s">
        <v>84</v>
      </c>
      <c r="I68" s="16" t="str">
        <f>_xlfn.TEXTJOIN(" ",TRUE, Raw_Employee_Data!$B68,Raw_Employee_Data!$C68)</f>
        <v>Michael Miller</v>
      </c>
      <c r="J68" s="11" t="str">
        <f>_xlfn.XLOOKUP(D68,Lookup_Departments!A:A,Lookup_Departments!B:B)</f>
        <v>Sales</v>
      </c>
      <c r="K68" s="11">
        <f t="shared" ca="1" si="1"/>
        <v>9</v>
      </c>
      <c r="L68" t="str" cm="1">
        <f t="array" ref="L68">_xlfn.IFS(G68&lt;=49,"Needs Improvement",G68&lt;=69,"Developing",G68&lt;=84,"Achieving",G68&lt;=94,"Exceeding",G68&lt;=100,"Outstanding")</f>
        <v>Developing</v>
      </c>
      <c r="M68" s="25">
        <f>F68*_xlfn.XLOOKUP(L68,Lookup_Performance!$C$2:$C$6,Lookup_Performance!$D$2:$D$6,0)</f>
        <v>2224.8000000000002</v>
      </c>
    </row>
    <row r="69" spans="1:13" x14ac:dyDescent="0.35">
      <c r="A69" s="5" t="s">
        <v>111</v>
      </c>
      <c r="B69" s="5" t="s">
        <v>11</v>
      </c>
      <c r="C69" s="5" t="s">
        <v>15</v>
      </c>
      <c r="D69" s="14" t="s">
        <v>72</v>
      </c>
      <c r="E69" s="7">
        <v>42818</v>
      </c>
      <c r="F69" s="15">
        <v>51567</v>
      </c>
      <c r="G69" s="5">
        <v>87</v>
      </c>
      <c r="H69" s="14" t="s">
        <v>36</v>
      </c>
      <c r="I69" s="14" t="str">
        <f>_xlfn.TEXTJOIN(" ",TRUE, Raw_Employee_Data!$B69,Raw_Employee_Data!$C69)</f>
        <v>Richard Gonzalez</v>
      </c>
      <c r="J69" s="11" t="str">
        <f>_xlfn.XLOOKUP(D69,Lookup_Departments!A:A,Lookup_Departments!B:B)</f>
        <v>Human Resources</v>
      </c>
      <c r="K69" s="11">
        <f t="shared" ca="1" si="1"/>
        <v>9</v>
      </c>
      <c r="L69" t="str" cm="1">
        <f t="array" ref="L69">_xlfn.IFS(G69&lt;=49,"Needs Improvement",G69&lt;=69,"Developing",G69&lt;=84,"Achieving",G69&lt;=94,"Exceeding",G69&lt;=100,"Outstanding")</f>
        <v>Exceeding</v>
      </c>
      <c r="M69" s="25">
        <f>F69*_xlfn.XLOOKUP(L69,Lookup_Performance!$C$2:$C$6,Lookup_Performance!$D$2:$D$6,0)</f>
        <v>4125.3599999999997</v>
      </c>
    </row>
    <row r="70" spans="1:13" x14ac:dyDescent="0.35">
      <c r="A70" s="4" t="s">
        <v>112</v>
      </c>
      <c r="B70" s="4" t="s">
        <v>77</v>
      </c>
      <c r="C70" s="4" t="s">
        <v>42</v>
      </c>
      <c r="D70" s="16" t="s">
        <v>72</v>
      </c>
      <c r="E70" s="7">
        <v>43590</v>
      </c>
      <c r="F70" s="17">
        <v>82713.429999999993</v>
      </c>
      <c r="G70" s="4">
        <v>36</v>
      </c>
      <c r="H70" s="16" t="s">
        <v>36</v>
      </c>
      <c r="I70" s="16" t="str">
        <f>_xlfn.TEXTJOIN(" ",TRUE, Raw_Employee_Data!$B70,Raw_Employee_Data!$C70)</f>
        <v>Melissa Williams</v>
      </c>
      <c r="J70" s="11" t="str">
        <f>_xlfn.XLOOKUP(D70,Lookup_Departments!A:A,Lookup_Departments!B:B)</f>
        <v>Human Resources</v>
      </c>
      <c r="K70" s="11">
        <f t="shared" ca="1" si="1"/>
        <v>7</v>
      </c>
      <c r="L70" t="str" cm="1">
        <f t="array" ref="L70">_xlfn.IFS(G70&lt;=49,"Needs Improvement",G70&lt;=69,"Developing",G70&lt;=84,"Achieving",G70&lt;=94,"Exceeding",G70&lt;=100,"Outstanding")</f>
        <v>Needs Improvement</v>
      </c>
      <c r="M70" s="25">
        <f>F70*_xlfn.XLOOKUP(L70,Lookup_Performance!$C$2:$C$6,Lookup_Performance!$D$2:$D$6,0)</f>
        <v>0</v>
      </c>
    </row>
    <row r="71" spans="1:13" x14ac:dyDescent="0.35">
      <c r="A71" s="5" t="s">
        <v>113</v>
      </c>
      <c r="B71" s="5" t="s">
        <v>45</v>
      </c>
      <c r="C71" s="5" t="s">
        <v>38</v>
      </c>
      <c r="D71" s="14" t="s">
        <v>72</v>
      </c>
      <c r="E71" s="7">
        <v>44402</v>
      </c>
      <c r="F71" s="15">
        <v>55270</v>
      </c>
      <c r="G71" s="5">
        <v>87</v>
      </c>
      <c r="H71" s="14" t="s">
        <v>36</v>
      </c>
      <c r="I71" s="14" t="str">
        <f>_xlfn.TEXTJOIN(" ",TRUE, Raw_Employee_Data!$B71,Raw_Employee_Data!$C71)</f>
        <v>Robert Miller</v>
      </c>
      <c r="J71" s="11" t="str">
        <f>_xlfn.XLOOKUP(D71,Lookup_Departments!A:A,Lookup_Departments!B:B)</f>
        <v>Human Resources</v>
      </c>
      <c r="K71" s="11">
        <f t="shared" ca="1" si="1"/>
        <v>4</v>
      </c>
      <c r="L71" t="str" cm="1">
        <f t="array" ref="L71">_xlfn.IFS(G71&lt;=49,"Needs Improvement",G71&lt;=69,"Developing",G71&lt;=84,"Achieving",G71&lt;=94,"Exceeding",G71&lt;=100,"Outstanding")</f>
        <v>Exceeding</v>
      </c>
      <c r="M71" s="25">
        <f>F71*_xlfn.XLOOKUP(L71,Lookup_Performance!$C$2:$C$6,Lookup_Performance!$D$2:$D$6,0)</f>
        <v>4421.6000000000004</v>
      </c>
    </row>
    <row r="72" spans="1:13" x14ac:dyDescent="0.35">
      <c r="A72" s="4" t="s">
        <v>114</v>
      </c>
      <c r="B72" s="4" t="s">
        <v>115</v>
      </c>
      <c r="C72" s="4" t="s">
        <v>97</v>
      </c>
      <c r="D72" s="16" t="s">
        <v>35</v>
      </c>
      <c r="E72" s="7">
        <v>43008</v>
      </c>
      <c r="F72" s="17">
        <v>65235</v>
      </c>
      <c r="G72" s="4">
        <v>97</v>
      </c>
      <c r="H72" s="16" t="s">
        <v>23</v>
      </c>
      <c r="I72" s="16" t="str">
        <f>_xlfn.TEXTJOIN(" ",TRUE, Raw_Employee_Data!$B72,Raw_Employee_Data!$C72)</f>
        <v>William Garcia</v>
      </c>
      <c r="J72" s="11" t="str">
        <f>_xlfn.XLOOKUP(D72,Lookup_Departments!A:A,Lookup_Departments!B:B)</f>
        <v>Sales</v>
      </c>
      <c r="K72" s="11">
        <f t="shared" ca="1" si="1"/>
        <v>8</v>
      </c>
      <c r="L72" t="str" cm="1">
        <f t="array" ref="L72">_xlfn.IFS(G72&lt;=49,"Needs Improvement",G72&lt;=69,"Developing",G72&lt;=84,"Achieving",G72&lt;=94,"Exceeding",G72&lt;=100,"Outstanding")</f>
        <v>Outstanding</v>
      </c>
      <c r="M72" s="25">
        <f>F72*_xlfn.XLOOKUP(L72,Lookup_Performance!$C$2:$C$6,Lookup_Performance!$D$2:$D$6,0)</f>
        <v>7828.2</v>
      </c>
    </row>
    <row r="73" spans="1:13" x14ac:dyDescent="0.35">
      <c r="A73" s="5" t="s">
        <v>116</v>
      </c>
      <c r="B73" s="5" t="s">
        <v>17</v>
      </c>
      <c r="C73" s="5" t="s">
        <v>15</v>
      </c>
      <c r="D73" s="14" t="s">
        <v>35</v>
      </c>
      <c r="E73" s="7">
        <v>42192</v>
      </c>
      <c r="F73" s="15">
        <v>82713.429999999993</v>
      </c>
      <c r="G73" s="5">
        <v>72</v>
      </c>
      <c r="H73" s="14" t="s">
        <v>23</v>
      </c>
      <c r="I73" s="14" t="str">
        <f>_xlfn.TEXTJOIN(" ",TRUE, Raw_Employee_Data!$B73,Raw_Employee_Data!$C73)</f>
        <v>John Gonzalez</v>
      </c>
      <c r="J73" s="11" t="str">
        <f>_xlfn.XLOOKUP(D73,Lookup_Departments!A:A,Lookup_Departments!B:B)</f>
        <v>Sales</v>
      </c>
      <c r="K73" s="11">
        <f t="shared" ca="1" si="1"/>
        <v>11</v>
      </c>
      <c r="L73" t="str" cm="1">
        <f t="array" ref="L73">_xlfn.IFS(G73&lt;=49,"Needs Improvement",G73&lt;=69,"Developing",G73&lt;=84,"Achieving",G73&lt;=94,"Exceeding",G73&lt;=100,"Outstanding")</f>
        <v>Achieving</v>
      </c>
      <c r="M73" s="25">
        <f>F73*_xlfn.XLOOKUP(L73,Lookup_Performance!$C$2:$C$6,Lookup_Performance!$D$2:$D$6,0)</f>
        <v>4135.6714999999995</v>
      </c>
    </row>
    <row r="74" spans="1:13" x14ac:dyDescent="0.35">
      <c r="A74" s="4" t="s">
        <v>117</v>
      </c>
      <c r="B74" s="4" t="s">
        <v>51</v>
      </c>
      <c r="C74" s="4" t="s">
        <v>15</v>
      </c>
      <c r="D74" s="16" t="s">
        <v>35</v>
      </c>
      <c r="E74" s="7">
        <v>43138</v>
      </c>
      <c r="F74" s="17">
        <v>82713.429999999993</v>
      </c>
      <c r="G74" s="4">
        <v>65</v>
      </c>
      <c r="H74" s="16" t="s">
        <v>36</v>
      </c>
      <c r="I74" s="16" t="str">
        <f>_xlfn.TEXTJOIN(" ",TRUE, Raw_Employee_Data!$B74,Raw_Employee_Data!$C74)</f>
        <v>James Gonzalez</v>
      </c>
      <c r="J74" s="11" t="str">
        <f>_xlfn.XLOOKUP(D74,Lookup_Departments!A:A,Lookup_Departments!B:B)</f>
        <v>Sales</v>
      </c>
      <c r="K74" s="11">
        <f t="shared" ca="1" si="1"/>
        <v>8</v>
      </c>
      <c r="L74" t="str" cm="1">
        <f t="array" ref="L74">_xlfn.IFS(G74&lt;=49,"Needs Improvement",G74&lt;=69,"Developing",G74&lt;=84,"Achieving",G74&lt;=94,"Exceeding",G74&lt;=100,"Outstanding")</f>
        <v>Developing</v>
      </c>
      <c r="M74" s="25">
        <f>F74*_xlfn.XLOOKUP(L74,Lookup_Performance!$C$2:$C$6,Lookup_Performance!$D$2:$D$6,0)</f>
        <v>1654.2685999999999</v>
      </c>
    </row>
    <row r="75" spans="1:13" x14ac:dyDescent="0.35">
      <c r="A75" s="5" t="s">
        <v>118</v>
      </c>
      <c r="B75" s="5" t="s">
        <v>41</v>
      </c>
      <c r="C75" s="5" t="s">
        <v>15</v>
      </c>
      <c r="D75" s="14" t="s">
        <v>35</v>
      </c>
      <c r="E75" s="7">
        <v>44819</v>
      </c>
      <c r="F75" s="15">
        <v>82713.429999999993</v>
      </c>
      <c r="G75" s="5">
        <v>67</v>
      </c>
      <c r="H75" s="14" t="s">
        <v>36</v>
      </c>
      <c r="I75" s="14" t="str">
        <f>_xlfn.TEXTJOIN(" ",TRUE, Raw_Employee_Data!$B75,Raw_Employee_Data!$C75)</f>
        <v>Jane Gonzalez</v>
      </c>
      <c r="J75" s="11" t="str">
        <f>_xlfn.XLOOKUP(D75,Lookup_Departments!A:A,Lookup_Departments!B:B)</f>
        <v>Sales</v>
      </c>
      <c r="K75" s="11">
        <f t="shared" ca="1" si="1"/>
        <v>3</v>
      </c>
      <c r="L75" t="str" cm="1">
        <f t="array" ref="L75">_xlfn.IFS(G75&lt;=49,"Needs Improvement",G75&lt;=69,"Developing",G75&lt;=84,"Achieving",G75&lt;=94,"Exceeding",G75&lt;=100,"Outstanding")</f>
        <v>Developing</v>
      </c>
      <c r="M75" s="25">
        <f>F75*_xlfn.XLOOKUP(L75,Lookup_Performance!$C$2:$C$6,Lookup_Performance!$D$2:$D$6,0)</f>
        <v>1654.2685999999999</v>
      </c>
    </row>
    <row r="76" spans="1:13" x14ac:dyDescent="0.35">
      <c r="A76" s="4" t="s">
        <v>119</v>
      </c>
      <c r="B76" s="4" t="s">
        <v>82</v>
      </c>
      <c r="C76" s="4" t="s">
        <v>28</v>
      </c>
      <c r="D76" s="16" t="s">
        <v>26</v>
      </c>
      <c r="E76" s="7">
        <v>42889</v>
      </c>
      <c r="F76" s="17">
        <v>48823</v>
      </c>
      <c r="G76" s="4">
        <v>34</v>
      </c>
      <c r="H76" s="16" t="s">
        <v>23</v>
      </c>
      <c r="I76" s="16" t="str">
        <f>_xlfn.TEXTJOIN(" ",TRUE, Raw_Employee_Data!$B76,Raw_Employee_Data!$C76)</f>
        <v>David Wilson</v>
      </c>
      <c r="J76" s="11" t="str">
        <f>_xlfn.XLOOKUP(D76,Lookup_Departments!A:A,Lookup_Departments!B:B)</f>
        <v>Operations</v>
      </c>
      <c r="K76" s="11">
        <f t="shared" ca="1" si="1"/>
        <v>9</v>
      </c>
      <c r="L76" t="str" cm="1">
        <f t="array" ref="L76">_xlfn.IFS(G76&lt;=49,"Needs Improvement",G76&lt;=69,"Developing",G76&lt;=84,"Achieving",G76&lt;=94,"Exceeding",G76&lt;=100,"Outstanding")</f>
        <v>Needs Improvement</v>
      </c>
      <c r="M76" s="25">
        <f>F76*_xlfn.XLOOKUP(L76,Lookup_Performance!$C$2:$C$6,Lookup_Performance!$D$2:$D$6,0)</f>
        <v>0</v>
      </c>
    </row>
    <row r="77" spans="1:13" x14ac:dyDescent="0.35">
      <c r="A77" s="5" t="s">
        <v>120</v>
      </c>
      <c r="B77" s="5" t="s">
        <v>41</v>
      </c>
      <c r="C77" s="5" t="s">
        <v>15</v>
      </c>
      <c r="D77" s="14" t="s">
        <v>19</v>
      </c>
      <c r="E77" s="7">
        <v>42044</v>
      </c>
      <c r="F77" s="15">
        <v>45196</v>
      </c>
      <c r="G77" s="5">
        <v>78</v>
      </c>
      <c r="H77" s="14" t="s">
        <v>36</v>
      </c>
      <c r="I77" s="14" t="str">
        <f>_xlfn.TEXTJOIN(" ",TRUE, Raw_Employee_Data!$B77,Raw_Employee_Data!$C77)</f>
        <v>Jane Gonzalez</v>
      </c>
      <c r="J77" s="11" t="str">
        <f>_xlfn.XLOOKUP(D77,Lookup_Departments!A:A,Lookup_Departments!B:B)</f>
        <v>Finance</v>
      </c>
      <c r="K77" s="11">
        <f t="shared" ca="1" si="1"/>
        <v>11</v>
      </c>
      <c r="L77" t="str" cm="1">
        <f t="array" ref="L77">_xlfn.IFS(G77&lt;=49,"Needs Improvement",G77&lt;=69,"Developing",G77&lt;=84,"Achieving",G77&lt;=94,"Exceeding",G77&lt;=100,"Outstanding")</f>
        <v>Achieving</v>
      </c>
      <c r="M77" s="25">
        <f>F77*_xlfn.XLOOKUP(L77,Lookup_Performance!$C$2:$C$6,Lookup_Performance!$D$2:$D$6,0)</f>
        <v>2259.8000000000002</v>
      </c>
    </row>
    <row r="78" spans="1:13" x14ac:dyDescent="0.35">
      <c r="A78" s="4" t="s">
        <v>121</v>
      </c>
      <c r="B78" s="4" t="s">
        <v>41</v>
      </c>
      <c r="C78" s="4" t="s">
        <v>32</v>
      </c>
      <c r="D78" s="16" t="s">
        <v>9</v>
      </c>
      <c r="E78" s="7">
        <v>42654</v>
      </c>
      <c r="F78" s="17">
        <v>86246</v>
      </c>
      <c r="G78" s="4">
        <v>61</v>
      </c>
      <c r="H78" s="16" t="s">
        <v>23</v>
      </c>
      <c r="I78" s="16" t="str">
        <f>_xlfn.TEXTJOIN(" ",TRUE, Raw_Employee_Data!$B78,Raw_Employee_Data!$C78)</f>
        <v>Jane Rodriguez</v>
      </c>
      <c r="J78" s="11" t="str">
        <f>_xlfn.XLOOKUP(D78,Lookup_Departments!A:A,Lookup_Departments!B:B)</f>
        <v>Information Technology</v>
      </c>
      <c r="K78" s="11">
        <f t="shared" ca="1" si="1"/>
        <v>9</v>
      </c>
      <c r="L78" t="str" cm="1">
        <f t="array" ref="L78">_xlfn.IFS(G78&lt;=49,"Needs Improvement",G78&lt;=69,"Developing",G78&lt;=84,"Achieving",G78&lt;=94,"Exceeding",G78&lt;=100,"Outstanding")</f>
        <v>Developing</v>
      </c>
      <c r="M78" s="25">
        <f>F78*_xlfn.XLOOKUP(L78,Lookup_Performance!$C$2:$C$6,Lookup_Performance!$D$2:$D$6,0)</f>
        <v>1724.92</v>
      </c>
    </row>
    <row r="79" spans="1:13" x14ac:dyDescent="0.35">
      <c r="A79" s="5" t="s">
        <v>122</v>
      </c>
      <c r="B79" s="5" t="s">
        <v>7</v>
      </c>
      <c r="C79" s="5" t="s">
        <v>38</v>
      </c>
      <c r="D79" s="14" t="s">
        <v>35</v>
      </c>
      <c r="E79" s="7">
        <v>43575</v>
      </c>
      <c r="F79" s="15">
        <v>70359</v>
      </c>
      <c r="G79" s="5">
        <v>74</v>
      </c>
      <c r="H79" s="14" t="s">
        <v>36</v>
      </c>
      <c r="I79" s="14" t="str">
        <f>_xlfn.TEXTJOIN(" ",TRUE, Raw_Employee_Data!$B79,Raw_Employee_Data!$C79)</f>
        <v>Emily Miller</v>
      </c>
      <c r="J79" s="11" t="str">
        <f>_xlfn.XLOOKUP(D79,Lookup_Departments!A:A,Lookup_Departments!B:B)</f>
        <v>Sales</v>
      </c>
      <c r="K79" s="11">
        <f t="shared" ca="1" si="1"/>
        <v>7</v>
      </c>
      <c r="L79" t="str" cm="1">
        <f t="array" ref="L79">_xlfn.IFS(G79&lt;=49,"Needs Improvement",G79&lt;=69,"Developing",G79&lt;=84,"Achieving",G79&lt;=94,"Exceeding",G79&lt;=100,"Outstanding")</f>
        <v>Achieving</v>
      </c>
      <c r="M79" s="25">
        <f>F79*_xlfn.XLOOKUP(L79,Lookup_Performance!$C$2:$C$6,Lookup_Performance!$D$2:$D$6,0)</f>
        <v>3517.9500000000003</v>
      </c>
    </row>
    <row r="80" spans="1:13" x14ac:dyDescent="0.35">
      <c r="A80" s="4" t="s">
        <v>123</v>
      </c>
      <c r="B80" s="4" t="s">
        <v>70</v>
      </c>
      <c r="C80" s="4" t="s">
        <v>38</v>
      </c>
      <c r="D80" s="16" t="s">
        <v>13</v>
      </c>
      <c r="E80" s="7">
        <v>42785</v>
      </c>
      <c r="F80" s="17">
        <v>82713.429999999993</v>
      </c>
      <c r="G80" s="4">
        <v>94</v>
      </c>
      <c r="H80" s="16" t="s">
        <v>36</v>
      </c>
      <c r="I80" s="16" t="str">
        <f>_xlfn.TEXTJOIN(" ",TRUE, Raw_Employee_Data!$B80,Raw_Employee_Data!$C80)</f>
        <v>Sarah Miller</v>
      </c>
      <c r="J80" s="11" t="str">
        <f>_xlfn.XLOOKUP(D80,Lookup_Departments!A:A,Lookup_Departments!B:B)</f>
        <v>Marketing</v>
      </c>
      <c r="K80" s="11">
        <f t="shared" ca="1" si="1"/>
        <v>9</v>
      </c>
      <c r="L80" t="str" cm="1">
        <f t="array" ref="L80">_xlfn.IFS(G80&lt;=49,"Needs Improvement",G80&lt;=69,"Developing",G80&lt;=84,"Achieving",G80&lt;=94,"Exceeding",G80&lt;=100,"Outstanding")</f>
        <v>Exceeding</v>
      </c>
      <c r="M80" s="25">
        <f>F80*_xlfn.XLOOKUP(L80,Lookup_Performance!$C$2:$C$6,Lookup_Performance!$D$2:$D$6,0)</f>
        <v>6617.0743999999995</v>
      </c>
    </row>
    <row r="81" spans="1:13" x14ac:dyDescent="0.35">
      <c r="A81" s="5" t="s">
        <v>124</v>
      </c>
      <c r="B81" s="5" t="s">
        <v>30</v>
      </c>
      <c r="C81" s="5" t="s">
        <v>97</v>
      </c>
      <c r="D81" s="14" t="s">
        <v>26</v>
      </c>
      <c r="E81" s="7">
        <v>44386</v>
      </c>
      <c r="F81" s="15">
        <v>86480</v>
      </c>
      <c r="G81" s="5">
        <v>68</v>
      </c>
      <c r="H81" s="14" t="s">
        <v>36</v>
      </c>
      <c r="I81" s="14" t="str">
        <f>_xlfn.TEXTJOIN(" ",TRUE, Raw_Employee_Data!$B81,Raw_Employee_Data!$C81)</f>
        <v>Jessica Garcia</v>
      </c>
      <c r="J81" s="11" t="str">
        <f>_xlfn.XLOOKUP(D81,Lookup_Departments!A:A,Lookup_Departments!B:B)</f>
        <v>Operations</v>
      </c>
      <c r="K81" s="11">
        <f t="shared" ca="1" si="1"/>
        <v>4</v>
      </c>
      <c r="L81" t="str" cm="1">
        <f t="array" ref="L81">_xlfn.IFS(G81&lt;=49,"Needs Improvement",G81&lt;=69,"Developing",G81&lt;=84,"Achieving",G81&lt;=94,"Exceeding",G81&lt;=100,"Outstanding")</f>
        <v>Developing</v>
      </c>
      <c r="M81" s="25">
        <f>F81*_xlfn.XLOOKUP(L81,Lookup_Performance!$C$2:$C$6,Lookup_Performance!$D$2:$D$6,0)</f>
        <v>1729.6000000000001</v>
      </c>
    </row>
    <row r="82" spans="1:13" x14ac:dyDescent="0.35">
      <c r="A82" s="4" t="s">
        <v>125</v>
      </c>
      <c r="B82" s="4" t="s">
        <v>11</v>
      </c>
      <c r="C82" s="4" t="s">
        <v>22</v>
      </c>
      <c r="D82" s="16" t="s">
        <v>72</v>
      </c>
      <c r="E82" s="7">
        <v>43599</v>
      </c>
      <c r="F82" s="17">
        <v>47694</v>
      </c>
      <c r="G82" s="4">
        <v>75</v>
      </c>
      <c r="H82" s="16" t="s">
        <v>84</v>
      </c>
      <c r="I82" s="16" t="str">
        <f>_xlfn.TEXTJOIN(" ",TRUE, Raw_Employee_Data!$B82,Raw_Employee_Data!$C82)</f>
        <v>Richard Smith</v>
      </c>
      <c r="J82" s="11" t="str">
        <f>_xlfn.XLOOKUP(D82,Lookup_Departments!A:A,Lookup_Departments!B:B)</f>
        <v>Human Resources</v>
      </c>
      <c r="K82" s="11">
        <f t="shared" ca="1" si="1"/>
        <v>7</v>
      </c>
      <c r="L82" t="str" cm="1">
        <f t="array" ref="L82">_xlfn.IFS(G82&lt;=49,"Needs Improvement",G82&lt;=69,"Developing",G82&lt;=84,"Achieving",G82&lt;=94,"Exceeding",G82&lt;=100,"Outstanding")</f>
        <v>Achieving</v>
      </c>
      <c r="M82" s="25">
        <f>F82*_xlfn.XLOOKUP(L82,Lookup_Performance!$C$2:$C$6,Lookup_Performance!$D$2:$D$6,0)</f>
        <v>2384.7000000000003</v>
      </c>
    </row>
    <row r="83" spans="1:13" x14ac:dyDescent="0.35">
      <c r="A83" s="5" t="s">
        <v>126</v>
      </c>
      <c r="B83" s="5" t="s">
        <v>77</v>
      </c>
      <c r="C83" s="5" t="s">
        <v>28</v>
      </c>
      <c r="D83" s="14" t="s">
        <v>9</v>
      </c>
      <c r="E83" s="7">
        <v>42221</v>
      </c>
      <c r="F83" s="15">
        <v>83724</v>
      </c>
      <c r="G83" s="5">
        <v>81</v>
      </c>
      <c r="H83" s="14" t="s">
        <v>36</v>
      </c>
      <c r="I83" s="14" t="str">
        <f>_xlfn.TEXTJOIN(" ",TRUE, Raw_Employee_Data!$B83,Raw_Employee_Data!$C83)</f>
        <v>Melissa Wilson</v>
      </c>
      <c r="J83" s="11" t="str">
        <f>_xlfn.XLOOKUP(D83,Lookup_Departments!A:A,Lookup_Departments!B:B)</f>
        <v>Information Technology</v>
      </c>
      <c r="K83" s="11">
        <f t="shared" ca="1" si="1"/>
        <v>10</v>
      </c>
      <c r="L83" t="str" cm="1">
        <f t="array" ref="L83">_xlfn.IFS(G83&lt;=49,"Needs Improvement",G83&lt;=69,"Developing",G83&lt;=84,"Achieving",G83&lt;=94,"Exceeding",G83&lt;=100,"Outstanding")</f>
        <v>Achieving</v>
      </c>
      <c r="M83" s="25">
        <f>F83*_xlfn.XLOOKUP(L83,Lookup_Performance!$C$2:$C$6,Lookup_Performance!$D$2:$D$6,0)</f>
        <v>4186.2</v>
      </c>
    </row>
    <row r="84" spans="1:13" x14ac:dyDescent="0.35">
      <c r="A84" s="4" t="s">
        <v>127</v>
      </c>
      <c r="B84" s="4" t="s">
        <v>21</v>
      </c>
      <c r="C84" s="4" t="s">
        <v>42</v>
      </c>
      <c r="D84" s="16" t="s">
        <v>19</v>
      </c>
      <c r="E84" s="7">
        <v>42330</v>
      </c>
      <c r="F84" s="17">
        <v>98299</v>
      </c>
      <c r="G84" s="4">
        <v>61</v>
      </c>
      <c r="H84" s="16" t="s">
        <v>36</v>
      </c>
      <c r="I84" s="16" t="str">
        <f>_xlfn.TEXTJOIN(" ",TRUE, Raw_Employee_Data!$B84,Raw_Employee_Data!$C84)</f>
        <v>Thomas Williams</v>
      </c>
      <c r="J84" s="11" t="str">
        <f>_xlfn.XLOOKUP(D84,Lookup_Departments!A:A,Lookup_Departments!B:B)</f>
        <v>Finance</v>
      </c>
      <c r="K84" s="11">
        <f t="shared" ca="1" si="1"/>
        <v>10</v>
      </c>
      <c r="L84" t="str" cm="1">
        <f t="array" ref="L84">_xlfn.IFS(G84&lt;=49,"Needs Improvement",G84&lt;=69,"Developing",G84&lt;=84,"Achieving",G84&lt;=94,"Exceeding",G84&lt;=100,"Outstanding")</f>
        <v>Developing</v>
      </c>
      <c r="M84" s="25">
        <f>F84*_xlfn.XLOOKUP(L84,Lookup_Performance!$C$2:$C$6,Lookup_Performance!$D$2:$D$6,0)</f>
        <v>1965.98</v>
      </c>
    </row>
    <row r="85" spans="1:13" x14ac:dyDescent="0.35">
      <c r="A85" s="5" t="s">
        <v>128</v>
      </c>
      <c r="B85" s="5" t="s">
        <v>82</v>
      </c>
      <c r="C85" s="5" t="s">
        <v>42</v>
      </c>
      <c r="D85" s="14" t="s">
        <v>19</v>
      </c>
      <c r="E85" s="7">
        <v>43372</v>
      </c>
      <c r="F85" s="15">
        <v>82713.429999999993</v>
      </c>
      <c r="G85" s="5">
        <v>68</v>
      </c>
      <c r="H85" s="14" t="s">
        <v>36</v>
      </c>
      <c r="I85" s="14" t="str">
        <f>_xlfn.TEXTJOIN(" ",TRUE, Raw_Employee_Data!$B85,Raw_Employee_Data!$C85)</f>
        <v>David Williams</v>
      </c>
      <c r="J85" s="11" t="str">
        <f>_xlfn.XLOOKUP(D85,Lookup_Departments!A:A,Lookup_Departments!B:B)</f>
        <v>Finance</v>
      </c>
      <c r="K85" s="11">
        <f t="shared" ca="1" si="1"/>
        <v>7</v>
      </c>
      <c r="L85" t="str" cm="1">
        <f t="array" ref="L85">_xlfn.IFS(G85&lt;=49,"Needs Improvement",G85&lt;=69,"Developing",G85&lt;=84,"Achieving",G85&lt;=94,"Exceeding",G85&lt;=100,"Outstanding")</f>
        <v>Developing</v>
      </c>
      <c r="M85" s="25">
        <f>F85*_xlfn.XLOOKUP(L85,Lookup_Performance!$C$2:$C$6,Lookup_Performance!$D$2:$D$6,0)</f>
        <v>1654.2685999999999</v>
      </c>
    </row>
    <row r="86" spans="1:13" x14ac:dyDescent="0.35">
      <c r="A86" s="4" t="s">
        <v>129</v>
      </c>
      <c r="B86" s="4" t="s">
        <v>17</v>
      </c>
      <c r="C86" s="4" t="s">
        <v>25</v>
      </c>
      <c r="D86" s="16" t="s">
        <v>9</v>
      </c>
      <c r="E86" s="7">
        <v>44966</v>
      </c>
      <c r="F86" s="17">
        <v>52287</v>
      </c>
      <c r="G86" s="4">
        <v>70</v>
      </c>
      <c r="H86" s="16" t="s">
        <v>36</v>
      </c>
      <c r="I86" s="16" t="str">
        <f>_xlfn.TEXTJOIN(" ",TRUE, Raw_Employee_Data!$B86,Raw_Employee_Data!$C86)</f>
        <v>John Johnson</v>
      </c>
      <c r="J86" s="11" t="str">
        <f>_xlfn.XLOOKUP(D86,Lookup_Departments!A:A,Lookup_Departments!B:B)</f>
        <v>Information Technology</v>
      </c>
      <c r="K86" s="11">
        <f t="shared" ca="1" si="1"/>
        <v>3</v>
      </c>
      <c r="L86" t="str" cm="1">
        <f t="array" ref="L86">_xlfn.IFS(G86&lt;=49,"Needs Improvement",G86&lt;=69,"Developing",G86&lt;=84,"Achieving",G86&lt;=94,"Exceeding",G86&lt;=100,"Outstanding")</f>
        <v>Achieving</v>
      </c>
      <c r="M86" s="25">
        <f>F86*_xlfn.XLOOKUP(L86,Lookup_Performance!$C$2:$C$6,Lookup_Performance!$D$2:$D$6,0)</f>
        <v>2614.3500000000004</v>
      </c>
    </row>
    <row r="87" spans="1:13" x14ac:dyDescent="0.35">
      <c r="A87" s="5" t="s">
        <v>130</v>
      </c>
      <c r="B87" s="5" t="s">
        <v>11</v>
      </c>
      <c r="C87" s="5" t="s">
        <v>15</v>
      </c>
      <c r="D87" s="14" t="s">
        <v>9</v>
      </c>
      <c r="E87" s="7">
        <v>44759</v>
      </c>
      <c r="F87" s="15">
        <v>82633</v>
      </c>
      <c r="G87" s="5">
        <v>98</v>
      </c>
      <c r="H87" s="14" t="s">
        <v>36</v>
      </c>
      <c r="I87" s="14" t="str">
        <f>_xlfn.TEXTJOIN(" ",TRUE, Raw_Employee_Data!$B87,Raw_Employee_Data!$C87)</f>
        <v>Richard Gonzalez</v>
      </c>
      <c r="J87" s="11" t="str">
        <f>_xlfn.XLOOKUP(D87,Lookup_Departments!A:A,Lookup_Departments!B:B)</f>
        <v>Information Technology</v>
      </c>
      <c r="K87" s="11">
        <f t="shared" ca="1" si="1"/>
        <v>3</v>
      </c>
      <c r="L87" t="str" cm="1">
        <f t="array" ref="L87">_xlfn.IFS(G87&lt;=49,"Needs Improvement",G87&lt;=69,"Developing",G87&lt;=84,"Achieving",G87&lt;=94,"Exceeding",G87&lt;=100,"Outstanding")</f>
        <v>Outstanding</v>
      </c>
      <c r="M87" s="25">
        <f>F87*_xlfn.XLOOKUP(L87,Lookup_Performance!$C$2:$C$6,Lookup_Performance!$D$2:$D$6,0)</f>
        <v>9915.9599999999991</v>
      </c>
    </row>
    <row r="88" spans="1:13" x14ac:dyDescent="0.35">
      <c r="A88" s="4" t="s">
        <v>131</v>
      </c>
      <c r="B88" s="4" t="s">
        <v>77</v>
      </c>
      <c r="C88" s="4" t="s">
        <v>99</v>
      </c>
      <c r="D88" s="16" t="s">
        <v>26</v>
      </c>
      <c r="E88" s="7">
        <v>44234</v>
      </c>
      <c r="F88" s="17">
        <v>46508</v>
      </c>
      <c r="G88" s="4">
        <v>34</v>
      </c>
      <c r="H88" s="16" t="s">
        <v>36</v>
      </c>
      <c r="I88" s="16" t="str">
        <f>_xlfn.TEXTJOIN(" ",TRUE, Raw_Employee_Data!$B88,Raw_Employee_Data!$C88)</f>
        <v>Melissa Anderson</v>
      </c>
      <c r="J88" s="11" t="str">
        <f>_xlfn.XLOOKUP(D88,Lookup_Departments!A:A,Lookup_Departments!B:B)</f>
        <v>Operations</v>
      </c>
      <c r="K88" s="11">
        <f t="shared" ca="1" si="1"/>
        <v>5</v>
      </c>
      <c r="L88" t="str" cm="1">
        <f t="array" ref="L88">_xlfn.IFS(G88&lt;=49,"Needs Improvement",G88&lt;=69,"Developing",G88&lt;=84,"Achieving",G88&lt;=94,"Exceeding",G88&lt;=100,"Outstanding")</f>
        <v>Needs Improvement</v>
      </c>
      <c r="M88" s="25">
        <f>F88*_xlfn.XLOOKUP(L88,Lookup_Performance!$C$2:$C$6,Lookup_Performance!$D$2:$D$6,0)</f>
        <v>0</v>
      </c>
    </row>
    <row r="89" spans="1:13" x14ac:dyDescent="0.35">
      <c r="A89" s="5" t="s">
        <v>132</v>
      </c>
      <c r="B89" s="5" t="s">
        <v>7</v>
      </c>
      <c r="C89" s="5" t="s">
        <v>15</v>
      </c>
      <c r="D89" s="14" t="s">
        <v>72</v>
      </c>
      <c r="E89" s="7">
        <v>45026</v>
      </c>
      <c r="F89" s="15">
        <v>86232</v>
      </c>
      <c r="G89" s="5">
        <v>93</v>
      </c>
      <c r="H89" s="14" t="s">
        <v>36</v>
      </c>
      <c r="I89" s="14" t="str">
        <f>_xlfn.TEXTJOIN(" ",TRUE, Raw_Employee_Data!$B89,Raw_Employee_Data!$C89)</f>
        <v>Emily Gonzalez</v>
      </c>
      <c r="J89" s="11" t="str">
        <f>_xlfn.XLOOKUP(D89,Lookup_Departments!A:A,Lookup_Departments!B:B)</f>
        <v>Human Resources</v>
      </c>
      <c r="K89" s="11">
        <f t="shared" ca="1" si="1"/>
        <v>3</v>
      </c>
      <c r="L89" t="str" cm="1">
        <f t="array" ref="L89">_xlfn.IFS(G89&lt;=49,"Needs Improvement",G89&lt;=69,"Developing",G89&lt;=84,"Achieving",G89&lt;=94,"Exceeding",G89&lt;=100,"Outstanding")</f>
        <v>Exceeding</v>
      </c>
      <c r="M89" s="25">
        <f>F89*_xlfn.XLOOKUP(L89,Lookup_Performance!$C$2:$C$6,Lookup_Performance!$D$2:$D$6,0)</f>
        <v>6898.56</v>
      </c>
    </row>
    <row r="90" spans="1:13" x14ac:dyDescent="0.35">
      <c r="A90" s="4" t="s">
        <v>133</v>
      </c>
      <c r="B90" s="4" t="s">
        <v>41</v>
      </c>
      <c r="C90" s="4" t="s">
        <v>49</v>
      </c>
      <c r="D90" s="16" t="s">
        <v>9</v>
      </c>
      <c r="E90" s="7">
        <v>44073</v>
      </c>
      <c r="F90" s="17">
        <v>77545</v>
      </c>
      <c r="G90" s="4">
        <v>48</v>
      </c>
      <c r="H90" s="16" t="s">
        <v>36</v>
      </c>
      <c r="I90" s="16" t="str">
        <f>_xlfn.TEXTJOIN(" ",TRUE, Raw_Employee_Data!$B90,Raw_Employee_Data!$C90)</f>
        <v>Jane Davis</v>
      </c>
      <c r="J90" s="11" t="str">
        <f>_xlfn.XLOOKUP(D90,Lookup_Departments!A:A,Lookup_Departments!B:B)</f>
        <v>Information Technology</v>
      </c>
      <c r="K90" s="11">
        <f t="shared" ca="1" si="1"/>
        <v>5</v>
      </c>
      <c r="L90" t="str" cm="1">
        <f t="array" ref="L90">_xlfn.IFS(G90&lt;=49,"Needs Improvement",G90&lt;=69,"Developing",G90&lt;=84,"Achieving",G90&lt;=94,"Exceeding",G90&lt;=100,"Outstanding")</f>
        <v>Needs Improvement</v>
      </c>
      <c r="M90" s="25">
        <f>F90*_xlfn.XLOOKUP(L90,Lookup_Performance!$C$2:$C$6,Lookup_Performance!$D$2:$D$6,0)</f>
        <v>0</v>
      </c>
    </row>
    <row r="91" spans="1:13" x14ac:dyDescent="0.35">
      <c r="A91" s="5" t="s">
        <v>134</v>
      </c>
      <c r="B91" s="5" t="s">
        <v>115</v>
      </c>
      <c r="C91" s="5" t="s">
        <v>15</v>
      </c>
      <c r="D91" s="14" t="s">
        <v>26</v>
      </c>
      <c r="E91" s="7">
        <v>44422</v>
      </c>
      <c r="F91" s="15">
        <v>68683</v>
      </c>
      <c r="G91" s="5">
        <v>90</v>
      </c>
      <c r="H91" s="14" t="s">
        <v>23</v>
      </c>
      <c r="I91" s="14" t="str">
        <f>_xlfn.TEXTJOIN(" ",TRUE, Raw_Employee_Data!$B91,Raw_Employee_Data!$C91)</f>
        <v>William Gonzalez</v>
      </c>
      <c r="J91" s="11" t="str">
        <f>_xlfn.XLOOKUP(D91,Lookup_Departments!A:A,Lookup_Departments!B:B)</f>
        <v>Operations</v>
      </c>
      <c r="K91" s="11">
        <f t="shared" ca="1" si="1"/>
        <v>4</v>
      </c>
      <c r="L91" t="str" cm="1">
        <f t="array" ref="L91">_xlfn.IFS(G91&lt;=49,"Needs Improvement",G91&lt;=69,"Developing",G91&lt;=84,"Achieving",G91&lt;=94,"Exceeding",G91&lt;=100,"Outstanding")</f>
        <v>Exceeding</v>
      </c>
      <c r="M91" s="25">
        <f>F91*_xlfn.XLOOKUP(L91,Lookup_Performance!$C$2:$C$6,Lookup_Performance!$D$2:$D$6,0)</f>
        <v>5494.64</v>
      </c>
    </row>
    <row r="92" spans="1:13" x14ac:dyDescent="0.35">
      <c r="A92" s="4" t="s">
        <v>135</v>
      </c>
      <c r="B92" s="4" t="s">
        <v>21</v>
      </c>
      <c r="C92" s="4" t="s">
        <v>46</v>
      </c>
      <c r="D92" s="16" t="s">
        <v>19</v>
      </c>
      <c r="E92" s="7">
        <v>43796</v>
      </c>
      <c r="F92" s="17">
        <v>83932</v>
      </c>
      <c r="G92" s="4">
        <v>57</v>
      </c>
      <c r="H92" s="16" t="s">
        <v>36</v>
      </c>
      <c r="I92" s="16" t="str">
        <f>_xlfn.TEXTJOIN(" ",TRUE, Raw_Employee_Data!$B92,Raw_Employee_Data!$C92)</f>
        <v>Thomas Jones</v>
      </c>
      <c r="J92" s="11" t="str">
        <f>_xlfn.XLOOKUP(D92,Lookup_Departments!A:A,Lookup_Departments!B:B)</f>
        <v>Finance</v>
      </c>
      <c r="K92" s="11">
        <f t="shared" ca="1" si="1"/>
        <v>6</v>
      </c>
      <c r="L92" t="str" cm="1">
        <f t="array" ref="L92">_xlfn.IFS(G92&lt;=49,"Needs Improvement",G92&lt;=69,"Developing",G92&lt;=84,"Achieving",G92&lt;=94,"Exceeding",G92&lt;=100,"Outstanding")</f>
        <v>Developing</v>
      </c>
      <c r="M92" s="25">
        <f>F92*_xlfn.XLOOKUP(L92,Lookup_Performance!$C$2:$C$6,Lookup_Performance!$D$2:$D$6,0)</f>
        <v>1678.64</v>
      </c>
    </row>
    <row r="93" spans="1:13" x14ac:dyDescent="0.35">
      <c r="A93" s="5" t="s">
        <v>136</v>
      </c>
      <c r="B93" s="5" t="s">
        <v>30</v>
      </c>
      <c r="C93" s="5" t="s">
        <v>99</v>
      </c>
      <c r="D93" s="14" t="s">
        <v>72</v>
      </c>
      <c r="E93" s="7">
        <v>42880</v>
      </c>
      <c r="F93" s="15">
        <v>56073</v>
      </c>
      <c r="G93" s="5">
        <v>79</v>
      </c>
      <c r="H93" s="14" t="s">
        <v>36</v>
      </c>
      <c r="I93" s="14" t="str">
        <f>_xlfn.TEXTJOIN(" ",TRUE, Raw_Employee_Data!$B93,Raw_Employee_Data!$C93)</f>
        <v>Jessica Anderson</v>
      </c>
      <c r="J93" s="11" t="str">
        <f>_xlfn.XLOOKUP(D93,Lookup_Departments!A:A,Lookup_Departments!B:B)</f>
        <v>Human Resources</v>
      </c>
      <c r="K93" s="11">
        <f t="shared" ca="1" si="1"/>
        <v>9</v>
      </c>
      <c r="L93" t="str" cm="1">
        <f t="array" ref="L93">_xlfn.IFS(G93&lt;=49,"Needs Improvement",G93&lt;=69,"Developing",G93&lt;=84,"Achieving",G93&lt;=94,"Exceeding",G93&lt;=100,"Outstanding")</f>
        <v>Achieving</v>
      </c>
      <c r="M93" s="25">
        <f>F93*_xlfn.XLOOKUP(L93,Lookup_Performance!$C$2:$C$6,Lookup_Performance!$D$2:$D$6,0)</f>
        <v>2803.65</v>
      </c>
    </row>
    <row r="94" spans="1:13" x14ac:dyDescent="0.35">
      <c r="A94" s="4" t="s">
        <v>137</v>
      </c>
      <c r="B94" s="4" t="s">
        <v>77</v>
      </c>
      <c r="C94" s="4" t="s">
        <v>25</v>
      </c>
      <c r="D94" s="16" t="s">
        <v>9</v>
      </c>
      <c r="E94" s="7">
        <v>43143</v>
      </c>
      <c r="F94" s="17">
        <v>88056</v>
      </c>
      <c r="G94" s="4">
        <v>66</v>
      </c>
      <c r="H94" s="16" t="s">
        <v>23</v>
      </c>
      <c r="I94" s="16" t="str">
        <f>_xlfn.TEXTJOIN(" ",TRUE, Raw_Employee_Data!$B94,Raw_Employee_Data!$C94)</f>
        <v>Melissa Johnson</v>
      </c>
      <c r="J94" s="11" t="str">
        <f>_xlfn.XLOOKUP(D94,Lookup_Departments!A:A,Lookup_Departments!B:B)</f>
        <v>Information Technology</v>
      </c>
      <c r="K94" s="11">
        <f t="shared" ca="1" si="1"/>
        <v>8</v>
      </c>
      <c r="L94" t="str" cm="1">
        <f t="array" ref="L94">_xlfn.IFS(G94&lt;=49,"Needs Improvement",G94&lt;=69,"Developing",G94&lt;=84,"Achieving",G94&lt;=94,"Exceeding",G94&lt;=100,"Outstanding")</f>
        <v>Developing</v>
      </c>
      <c r="M94" s="25">
        <f>F94*_xlfn.XLOOKUP(L94,Lookup_Performance!$C$2:$C$6,Lookup_Performance!$D$2:$D$6,0)</f>
        <v>1761.1200000000001</v>
      </c>
    </row>
    <row r="95" spans="1:13" x14ac:dyDescent="0.35">
      <c r="A95" s="5" t="s">
        <v>138</v>
      </c>
      <c r="B95" s="5" t="s">
        <v>21</v>
      </c>
      <c r="C95" s="5" t="s">
        <v>38</v>
      </c>
      <c r="D95" s="14" t="s">
        <v>26</v>
      </c>
      <c r="E95" s="7">
        <v>43639</v>
      </c>
      <c r="F95" s="15">
        <v>67414</v>
      </c>
      <c r="G95" s="5">
        <v>84</v>
      </c>
      <c r="H95" s="14" t="s">
        <v>36</v>
      </c>
      <c r="I95" s="14" t="str">
        <f>_xlfn.TEXTJOIN(" ",TRUE, Raw_Employee_Data!$B95,Raw_Employee_Data!$C95)</f>
        <v>Thomas Miller</v>
      </c>
      <c r="J95" s="11" t="str">
        <f>_xlfn.XLOOKUP(D95,Lookup_Departments!A:A,Lookup_Departments!B:B)</f>
        <v>Operations</v>
      </c>
      <c r="K95" s="11">
        <f t="shared" ca="1" si="1"/>
        <v>7</v>
      </c>
      <c r="L95" t="str" cm="1">
        <f t="array" ref="L95">_xlfn.IFS(G95&lt;=49,"Needs Improvement",G95&lt;=69,"Developing",G95&lt;=84,"Achieving",G95&lt;=94,"Exceeding",G95&lt;=100,"Outstanding")</f>
        <v>Achieving</v>
      </c>
      <c r="M95" s="25">
        <f>F95*_xlfn.XLOOKUP(L95,Lookup_Performance!$C$2:$C$6,Lookup_Performance!$D$2:$D$6,0)</f>
        <v>3370.7000000000003</v>
      </c>
    </row>
    <row r="96" spans="1:13" x14ac:dyDescent="0.35">
      <c r="A96" s="4" t="s">
        <v>139</v>
      </c>
      <c r="B96" s="4" t="s">
        <v>115</v>
      </c>
      <c r="C96" s="4" t="s">
        <v>15</v>
      </c>
      <c r="D96" s="16" t="s">
        <v>35</v>
      </c>
      <c r="E96" s="7">
        <v>42304</v>
      </c>
      <c r="F96" s="17">
        <v>115288</v>
      </c>
      <c r="G96" s="4">
        <v>61</v>
      </c>
      <c r="H96" s="16" t="s">
        <v>36</v>
      </c>
      <c r="I96" s="16" t="str">
        <f>_xlfn.TEXTJOIN(" ",TRUE, Raw_Employee_Data!$B96,Raw_Employee_Data!$C96)</f>
        <v>William Gonzalez</v>
      </c>
      <c r="J96" s="11" t="str">
        <f>_xlfn.XLOOKUP(D96,Lookup_Departments!A:A,Lookup_Departments!B:B)</f>
        <v>Sales</v>
      </c>
      <c r="K96" s="11">
        <f t="shared" ca="1" si="1"/>
        <v>10</v>
      </c>
      <c r="L96" t="str" cm="1">
        <f t="array" ref="L96">_xlfn.IFS(G96&lt;=49,"Needs Improvement",G96&lt;=69,"Developing",G96&lt;=84,"Achieving",G96&lt;=94,"Exceeding",G96&lt;=100,"Outstanding")</f>
        <v>Developing</v>
      </c>
      <c r="M96" s="25">
        <f>F96*_xlfn.XLOOKUP(L96,Lookup_Performance!$C$2:$C$6,Lookup_Performance!$D$2:$D$6,0)</f>
        <v>2305.7600000000002</v>
      </c>
    </row>
    <row r="97" spans="1:13" x14ac:dyDescent="0.35">
      <c r="A97" s="5" t="s">
        <v>140</v>
      </c>
      <c r="B97" s="5" t="s">
        <v>7</v>
      </c>
      <c r="C97" s="5" t="s">
        <v>22</v>
      </c>
      <c r="D97" s="14" t="s">
        <v>35</v>
      </c>
      <c r="E97" s="7">
        <v>43270</v>
      </c>
      <c r="F97" s="15">
        <v>80140</v>
      </c>
      <c r="G97" s="5">
        <v>58</v>
      </c>
      <c r="H97" s="14" t="s">
        <v>36</v>
      </c>
      <c r="I97" s="14" t="str">
        <f>_xlfn.TEXTJOIN(" ",TRUE, Raw_Employee_Data!$B97,Raw_Employee_Data!$C97)</f>
        <v>Emily Smith</v>
      </c>
      <c r="J97" s="11" t="str">
        <f>_xlfn.XLOOKUP(D97,Lookup_Departments!A:A,Lookup_Departments!B:B)</f>
        <v>Sales</v>
      </c>
      <c r="K97" s="11">
        <f t="shared" ca="1" si="1"/>
        <v>8</v>
      </c>
      <c r="L97" t="str" cm="1">
        <f t="array" ref="L97">_xlfn.IFS(G97&lt;=49,"Needs Improvement",G97&lt;=69,"Developing",G97&lt;=84,"Achieving",G97&lt;=94,"Exceeding",G97&lt;=100,"Outstanding")</f>
        <v>Developing</v>
      </c>
      <c r="M97" s="25">
        <f>F97*_xlfn.XLOOKUP(L97,Lookup_Performance!$C$2:$C$6,Lookup_Performance!$D$2:$D$6,0)</f>
        <v>1602.8</v>
      </c>
    </row>
    <row r="98" spans="1:13" x14ac:dyDescent="0.35">
      <c r="A98" s="4" t="s">
        <v>141</v>
      </c>
      <c r="B98" s="4" t="s">
        <v>17</v>
      </c>
      <c r="C98" s="4" t="s">
        <v>25</v>
      </c>
      <c r="D98" s="16" t="s">
        <v>9</v>
      </c>
      <c r="E98" s="7">
        <v>43435</v>
      </c>
      <c r="F98" s="17">
        <v>73087</v>
      </c>
      <c r="G98" s="4">
        <v>69</v>
      </c>
      <c r="H98" s="16" t="s">
        <v>36</v>
      </c>
      <c r="I98" s="16" t="str">
        <f>_xlfn.TEXTJOIN(" ",TRUE, Raw_Employee_Data!$B98,Raw_Employee_Data!$C98)</f>
        <v>John Johnson</v>
      </c>
      <c r="J98" s="11" t="str">
        <f>_xlfn.XLOOKUP(D98,Lookup_Departments!A:A,Lookup_Departments!B:B)</f>
        <v>Information Technology</v>
      </c>
      <c r="K98" s="11">
        <f t="shared" ca="1" si="1"/>
        <v>7</v>
      </c>
      <c r="L98" t="str" cm="1">
        <f t="array" ref="L98">_xlfn.IFS(G98&lt;=49,"Needs Improvement",G98&lt;=69,"Developing",G98&lt;=84,"Achieving",G98&lt;=94,"Exceeding",G98&lt;=100,"Outstanding")</f>
        <v>Developing</v>
      </c>
      <c r="M98" s="25">
        <f>F98*_xlfn.XLOOKUP(L98,Lookup_Performance!$C$2:$C$6,Lookup_Performance!$D$2:$D$6,0)</f>
        <v>1461.74</v>
      </c>
    </row>
    <row r="99" spans="1:13" x14ac:dyDescent="0.35">
      <c r="A99" s="5" t="s">
        <v>142</v>
      </c>
      <c r="B99" s="5" t="s">
        <v>41</v>
      </c>
      <c r="C99" s="5" t="s">
        <v>25</v>
      </c>
      <c r="D99" s="14" t="s">
        <v>35</v>
      </c>
      <c r="E99" s="7">
        <v>42095</v>
      </c>
      <c r="F99" s="15">
        <v>95292</v>
      </c>
      <c r="G99" s="5">
        <v>34</v>
      </c>
      <c r="H99" s="14" t="s">
        <v>36</v>
      </c>
      <c r="I99" s="14" t="str">
        <f>_xlfn.TEXTJOIN(" ",TRUE, Raw_Employee_Data!$B99,Raw_Employee_Data!$C99)</f>
        <v>Jane Johnson</v>
      </c>
      <c r="J99" s="11" t="str">
        <f>_xlfn.XLOOKUP(D99,Lookup_Departments!A:A,Lookup_Departments!B:B)</f>
        <v>Sales</v>
      </c>
      <c r="K99" s="11">
        <f t="shared" ca="1" si="1"/>
        <v>11</v>
      </c>
      <c r="L99" t="str" cm="1">
        <f t="array" ref="L99">_xlfn.IFS(G99&lt;=49,"Needs Improvement",G99&lt;=69,"Developing",G99&lt;=84,"Achieving",G99&lt;=94,"Exceeding",G99&lt;=100,"Outstanding")</f>
        <v>Needs Improvement</v>
      </c>
      <c r="M99" s="25">
        <f>F99*_xlfn.XLOOKUP(L99,Lookup_Performance!$C$2:$C$6,Lookup_Performance!$D$2:$D$6,0)</f>
        <v>0</v>
      </c>
    </row>
    <row r="100" spans="1:13" x14ac:dyDescent="0.35">
      <c r="A100" s="4" t="s">
        <v>143</v>
      </c>
      <c r="B100" s="4" t="s">
        <v>17</v>
      </c>
      <c r="C100" s="4" t="s">
        <v>46</v>
      </c>
      <c r="D100" s="16" t="s">
        <v>9</v>
      </c>
      <c r="E100" s="7">
        <v>43232</v>
      </c>
      <c r="F100" s="17">
        <v>82713.429999999993</v>
      </c>
      <c r="G100" s="4">
        <v>33</v>
      </c>
      <c r="H100" s="16" t="s">
        <v>23</v>
      </c>
      <c r="I100" s="16" t="str">
        <f>_xlfn.TEXTJOIN(" ",TRUE, Raw_Employee_Data!$B100,Raw_Employee_Data!$C100)</f>
        <v>John Jones</v>
      </c>
      <c r="J100" s="11" t="str">
        <f>_xlfn.XLOOKUP(D100,Lookup_Departments!A:A,Lookup_Departments!B:B)</f>
        <v>Information Technology</v>
      </c>
      <c r="K100" s="11">
        <f t="shared" ca="1" si="1"/>
        <v>8</v>
      </c>
      <c r="L100" t="str" cm="1">
        <f t="array" ref="L100">_xlfn.IFS(G100&lt;=49,"Needs Improvement",G100&lt;=69,"Developing",G100&lt;=84,"Achieving",G100&lt;=94,"Exceeding",G100&lt;=100,"Outstanding")</f>
        <v>Needs Improvement</v>
      </c>
      <c r="M100" s="25">
        <f>F100*_xlfn.XLOOKUP(L100,Lookup_Performance!$C$2:$C$6,Lookup_Performance!$D$2:$D$6,0)</f>
        <v>0</v>
      </c>
    </row>
    <row r="101" spans="1:13" x14ac:dyDescent="0.35">
      <c r="A101" s="5" t="s">
        <v>144</v>
      </c>
      <c r="B101" s="5" t="s">
        <v>41</v>
      </c>
      <c r="C101" s="5" t="s">
        <v>54</v>
      </c>
      <c r="D101" s="14" t="s">
        <v>13</v>
      </c>
      <c r="E101" s="7">
        <v>44482</v>
      </c>
      <c r="F101" s="15">
        <v>101750</v>
      </c>
      <c r="G101" s="5">
        <v>84</v>
      </c>
      <c r="H101" s="14" t="s">
        <v>36</v>
      </c>
      <c r="I101" s="14" t="str">
        <f>_xlfn.TEXTJOIN(" ",TRUE, Raw_Employee_Data!$B101,Raw_Employee_Data!$C101)</f>
        <v>Jane Lopez</v>
      </c>
      <c r="J101" s="11" t="str">
        <f>_xlfn.XLOOKUP(D101,Lookup_Departments!A:A,Lookup_Departments!B:B)</f>
        <v>Marketing</v>
      </c>
      <c r="K101" s="11">
        <f t="shared" ca="1" si="1"/>
        <v>4</v>
      </c>
      <c r="L101" t="str" cm="1">
        <f t="array" ref="L101">_xlfn.IFS(G101&lt;=49,"Needs Improvement",G101&lt;=69,"Developing",G101&lt;=84,"Achieving",G101&lt;=94,"Exceeding",G101&lt;=100,"Outstanding")</f>
        <v>Achieving</v>
      </c>
      <c r="M101" s="25">
        <f>F101*_xlfn.XLOOKUP(L101,Lookup_Performance!$C$2:$C$6,Lookup_Performance!$D$2:$D$6,0)</f>
        <v>5087.5</v>
      </c>
    </row>
    <row r="102" spans="1:13" x14ac:dyDescent="0.35">
      <c r="A102" s="4" t="s">
        <v>145</v>
      </c>
      <c r="B102" s="4" t="s">
        <v>77</v>
      </c>
      <c r="C102" s="4" t="s">
        <v>15</v>
      </c>
      <c r="D102" s="16" t="s">
        <v>13</v>
      </c>
      <c r="E102" s="7">
        <v>44021</v>
      </c>
      <c r="F102" s="17">
        <v>82992</v>
      </c>
      <c r="G102" s="4">
        <v>79</v>
      </c>
      <c r="H102" s="16" t="s">
        <v>36</v>
      </c>
      <c r="I102" s="16" t="str">
        <f>_xlfn.TEXTJOIN(" ",TRUE, Raw_Employee_Data!$B102,Raw_Employee_Data!$C102)</f>
        <v>Melissa Gonzalez</v>
      </c>
      <c r="J102" s="11" t="str">
        <f>_xlfn.XLOOKUP(D102,Lookup_Departments!A:A,Lookup_Departments!B:B)</f>
        <v>Marketing</v>
      </c>
      <c r="K102" s="11">
        <f t="shared" ca="1" si="1"/>
        <v>5</v>
      </c>
      <c r="L102" t="str" cm="1">
        <f t="array" ref="L102">_xlfn.IFS(G102&lt;=49,"Needs Improvement",G102&lt;=69,"Developing",G102&lt;=84,"Achieving",G102&lt;=94,"Exceeding",G102&lt;=100,"Outstanding")</f>
        <v>Achieving</v>
      </c>
      <c r="M102" s="25">
        <f>F102*_xlfn.XLOOKUP(L102,Lookup_Performance!$C$2:$C$6,Lookup_Performance!$D$2:$D$6,0)</f>
        <v>4149.6000000000004</v>
      </c>
    </row>
    <row r="103" spans="1:13" x14ac:dyDescent="0.35">
      <c r="A103" s="5" t="s">
        <v>146</v>
      </c>
      <c r="B103" s="5" t="s">
        <v>115</v>
      </c>
      <c r="C103" s="5" t="s">
        <v>49</v>
      </c>
      <c r="D103" s="14" t="s">
        <v>9</v>
      </c>
      <c r="E103" s="7">
        <v>43680</v>
      </c>
      <c r="F103" s="15">
        <v>49942</v>
      </c>
      <c r="G103" s="5">
        <v>51</v>
      </c>
      <c r="H103" s="14" t="s">
        <v>36</v>
      </c>
      <c r="I103" s="14" t="str">
        <f>_xlfn.TEXTJOIN(" ",TRUE, Raw_Employee_Data!$B103,Raw_Employee_Data!$C103)</f>
        <v>William Davis</v>
      </c>
      <c r="J103" s="11" t="str">
        <f>_xlfn.XLOOKUP(D103,Lookup_Departments!A:A,Lookup_Departments!B:B)</f>
        <v>Information Technology</v>
      </c>
      <c r="K103" s="11">
        <f t="shared" ca="1" si="1"/>
        <v>6</v>
      </c>
      <c r="L103" t="str" cm="1">
        <f t="array" ref="L103">_xlfn.IFS(G103&lt;=49,"Needs Improvement",G103&lt;=69,"Developing",G103&lt;=84,"Achieving",G103&lt;=94,"Exceeding",G103&lt;=100,"Outstanding")</f>
        <v>Developing</v>
      </c>
      <c r="M103" s="25">
        <f>F103*_xlfn.XLOOKUP(L103,Lookup_Performance!$C$2:$C$6,Lookup_Performance!$D$2:$D$6,0)</f>
        <v>998.84</v>
      </c>
    </row>
    <row r="104" spans="1:13" x14ac:dyDescent="0.35">
      <c r="A104" s="4" t="s">
        <v>147</v>
      </c>
      <c r="B104" s="4" t="s">
        <v>17</v>
      </c>
      <c r="C104" s="4" t="s">
        <v>22</v>
      </c>
      <c r="D104" s="16" t="s">
        <v>26</v>
      </c>
      <c r="E104" s="7">
        <v>42074</v>
      </c>
      <c r="F104" s="17">
        <v>89060</v>
      </c>
      <c r="G104" s="4">
        <v>58</v>
      </c>
      <c r="H104" s="16" t="s">
        <v>36</v>
      </c>
      <c r="I104" s="16" t="str">
        <f>_xlfn.TEXTJOIN(" ",TRUE, Raw_Employee_Data!$B104,Raw_Employee_Data!$C104)</f>
        <v>John Smith</v>
      </c>
      <c r="J104" s="11" t="str">
        <f>_xlfn.XLOOKUP(D104,Lookup_Departments!A:A,Lookup_Departments!B:B)</f>
        <v>Operations</v>
      </c>
      <c r="K104" s="11">
        <f t="shared" ca="1" si="1"/>
        <v>11</v>
      </c>
      <c r="L104" t="str" cm="1">
        <f t="array" ref="L104">_xlfn.IFS(G104&lt;=49,"Needs Improvement",G104&lt;=69,"Developing",G104&lt;=84,"Achieving",G104&lt;=94,"Exceeding",G104&lt;=100,"Outstanding")</f>
        <v>Developing</v>
      </c>
      <c r="M104" s="25">
        <f>F104*_xlfn.XLOOKUP(L104,Lookup_Performance!$C$2:$C$6,Lookup_Performance!$D$2:$D$6,0)</f>
        <v>1781.2</v>
      </c>
    </row>
    <row r="105" spans="1:13" x14ac:dyDescent="0.35">
      <c r="A105" s="5" t="s">
        <v>148</v>
      </c>
      <c r="B105" s="5" t="s">
        <v>51</v>
      </c>
      <c r="C105" s="5" t="s">
        <v>15</v>
      </c>
      <c r="D105" s="14" t="s">
        <v>9</v>
      </c>
      <c r="E105" s="7">
        <v>42785</v>
      </c>
      <c r="F105" s="15">
        <v>53786</v>
      </c>
      <c r="G105" s="5">
        <v>98</v>
      </c>
      <c r="H105" s="14" t="s">
        <v>36</v>
      </c>
      <c r="I105" s="14" t="str">
        <f>_xlfn.TEXTJOIN(" ",TRUE, Raw_Employee_Data!$B105,Raw_Employee_Data!$C105)</f>
        <v>James Gonzalez</v>
      </c>
      <c r="J105" s="11" t="str">
        <f>_xlfn.XLOOKUP(D105,Lookup_Departments!A:A,Lookup_Departments!B:B)</f>
        <v>Information Technology</v>
      </c>
      <c r="K105" s="11">
        <f t="shared" ca="1" si="1"/>
        <v>9</v>
      </c>
      <c r="L105" t="str" cm="1">
        <f t="array" ref="L105">_xlfn.IFS(G105&lt;=49,"Needs Improvement",G105&lt;=69,"Developing",G105&lt;=84,"Achieving",G105&lt;=94,"Exceeding",G105&lt;=100,"Outstanding")</f>
        <v>Outstanding</v>
      </c>
      <c r="M105" s="25">
        <f>F105*_xlfn.XLOOKUP(L105,Lookup_Performance!$C$2:$C$6,Lookup_Performance!$D$2:$D$6,0)</f>
        <v>6454.32</v>
      </c>
    </row>
    <row r="106" spans="1:13" x14ac:dyDescent="0.35">
      <c r="A106" s="4" t="s">
        <v>149</v>
      </c>
      <c r="B106" s="4" t="s">
        <v>7</v>
      </c>
      <c r="C106" s="4" t="s">
        <v>25</v>
      </c>
      <c r="D106" s="16" t="s">
        <v>26</v>
      </c>
      <c r="E106" s="7">
        <v>45174</v>
      </c>
      <c r="F106" s="17">
        <v>81167</v>
      </c>
      <c r="G106" s="4">
        <v>68</v>
      </c>
      <c r="H106" s="16" t="s">
        <v>23</v>
      </c>
      <c r="I106" s="16" t="str">
        <f>_xlfn.TEXTJOIN(" ",TRUE, Raw_Employee_Data!$B106,Raw_Employee_Data!$C106)</f>
        <v>Emily Johnson</v>
      </c>
      <c r="J106" s="11" t="str">
        <f>_xlfn.XLOOKUP(D106,Lookup_Departments!A:A,Lookup_Departments!B:B)</f>
        <v>Operations</v>
      </c>
      <c r="K106" s="11">
        <f t="shared" ca="1" si="1"/>
        <v>2</v>
      </c>
      <c r="L106" t="str" cm="1">
        <f t="array" ref="L106">_xlfn.IFS(G106&lt;=49,"Needs Improvement",G106&lt;=69,"Developing",G106&lt;=84,"Achieving",G106&lt;=94,"Exceeding",G106&lt;=100,"Outstanding")</f>
        <v>Developing</v>
      </c>
      <c r="M106" s="25">
        <f>F106*_xlfn.XLOOKUP(L106,Lookup_Performance!$C$2:$C$6,Lookup_Performance!$D$2:$D$6,0)</f>
        <v>1623.3400000000001</v>
      </c>
    </row>
    <row r="107" spans="1:13" x14ac:dyDescent="0.35">
      <c r="A107" s="5" t="s">
        <v>150</v>
      </c>
      <c r="B107" s="5" t="s">
        <v>115</v>
      </c>
      <c r="C107" s="5" t="s">
        <v>42</v>
      </c>
      <c r="D107" s="14" t="s">
        <v>13</v>
      </c>
      <c r="E107" s="7">
        <v>43122</v>
      </c>
      <c r="F107" s="15">
        <v>66688</v>
      </c>
      <c r="G107" s="5">
        <v>40</v>
      </c>
      <c r="H107" s="14" t="s">
        <v>36</v>
      </c>
      <c r="I107" s="14" t="str">
        <f>_xlfn.TEXTJOIN(" ",TRUE, Raw_Employee_Data!$B107,Raw_Employee_Data!$C107)</f>
        <v>William Williams</v>
      </c>
      <c r="J107" s="11" t="str">
        <f>_xlfn.XLOOKUP(D107,Lookup_Departments!A:A,Lookup_Departments!B:B)</f>
        <v>Marketing</v>
      </c>
      <c r="K107" s="11">
        <f t="shared" ca="1" si="1"/>
        <v>8</v>
      </c>
      <c r="L107" t="str" cm="1">
        <f t="array" ref="L107">_xlfn.IFS(G107&lt;=49,"Needs Improvement",G107&lt;=69,"Developing",G107&lt;=84,"Achieving",G107&lt;=94,"Exceeding",G107&lt;=100,"Outstanding")</f>
        <v>Needs Improvement</v>
      </c>
      <c r="M107" s="25">
        <f>F107*_xlfn.XLOOKUP(L107,Lookup_Performance!$C$2:$C$6,Lookup_Performance!$D$2:$D$6,0)</f>
        <v>0</v>
      </c>
    </row>
    <row r="108" spans="1:13" x14ac:dyDescent="0.35">
      <c r="A108" s="4" t="s">
        <v>151</v>
      </c>
      <c r="B108" s="4" t="s">
        <v>51</v>
      </c>
      <c r="C108" s="4" t="s">
        <v>46</v>
      </c>
      <c r="D108" s="16" t="s">
        <v>9</v>
      </c>
      <c r="E108" s="7">
        <v>43879</v>
      </c>
      <c r="F108" s="17">
        <v>91672</v>
      </c>
      <c r="G108" s="4">
        <v>88</v>
      </c>
      <c r="H108" s="16" t="s">
        <v>36</v>
      </c>
      <c r="I108" s="16" t="str">
        <f>_xlfn.TEXTJOIN(" ",TRUE, Raw_Employee_Data!$B108,Raw_Employee_Data!$C108)</f>
        <v>James Jones</v>
      </c>
      <c r="J108" s="11" t="str">
        <f>_xlfn.XLOOKUP(D108,Lookup_Departments!A:A,Lookup_Departments!B:B)</f>
        <v>Information Technology</v>
      </c>
      <c r="K108" s="11">
        <f t="shared" ca="1" si="1"/>
        <v>6</v>
      </c>
      <c r="L108" t="str" cm="1">
        <f t="array" ref="L108">_xlfn.IFS(G108&lt;=49,"Needs Improvement",G108&lt;=69,"Developing",G108&lt;=84,"Achieving",G108&lt;=94,"Exceeding",G108&lt;=100,"Outstanding")</f>
        <v>Exceeding</v>
      </c>
      <c r="M108" s="25">
        <f>F108*_xlfn.XLOOKUP(L108,Lookup_Performance!$C$2:$C$6,Lookup_Performance!$D$2:$D$6,0)</f>
        <v>7333.76</v>
      </c>
    </row>
    <row r="109" spans="1:13" x14ac:dyDescent="0.35">
      <c r="A109" s="5" t="s">
        <v>152</v>
      </c>
      <c r="B109" s="5" t="s">
        <v>30</v>
      </c>
      <c r="C109" s="5" t="s">
        <v>15</v>
      </c>
      <c r="D109" s="14" t="s">
        <v>72</v>
      </c>
      <c r="E109" s="7">
        <v>42512</v>
      </c>
      <c r="F109" s="15">
        <v>77737</v>
      </c>
      <c r="G109" s="5">
        <v>77</v>
      </c>
      <c r="H109" s="14" t="s">
        <v>36</v>
      </c>
      <c r="I109" s="14" t="str">
        <f>_xlfn.TEXTJOIN(" ",TRUE, Raw_Employee_Data!$B109,Raw_Employee_Data!$C109)</f>
        <v>Jessica Gonzalez</v>
      </c>
      <c r="J109" s="11" t="str">
        <f>_xlfn.XLOOKUP(D109,Lookup_Departments!A:A,Lookup_Departments!B:B)</f>
        <v>Human Resources</v>
      </c>
      <c r="K109" s="11">
        <f t="shared" ca="1" si="1"/>
        <v>10</v>
      </c>
      <c r="L109" t="str" cm="1">
        <f t="array" ref="L109">_xlfn.IFS(G109&lt;=49,"Needs Improvement",G109&lt;=69,"Developing",G109&lt;=84,"Achieving",G109&lt;=94,"Exceeding",G109&lt;=100,"Outstanding")</f>
        <v>Achieving</v>
      </c>
      <c r="M109" s="25">
        <f>F109*_xlfn.XLOOKUP(L109,Lookup_Performance!$C$2:$C$6,Lookup_Performance!$D$2:$D$6,0)</f>
        <v>3886.8500000000004</v>
      </c>
    </row>
    <row r="110" spans="1:13" x14ac:dyDescent="0.35">
      <c r="A110" s="4" t="s">
        <v>153</v>
      </c>
      <c r="B110" s="4" t="s">
        <v>70</v>
      </c>
      <c r="C110" s="4" t="s">
        <v>38</v>
      </c>
      <c r="D110" s="16" t="s">
        <v>35</v>
      </c>
      <c r="E110" s="7">
        <v>44233</v>
      </c>
      <c r="F110" s="17">
        <v>95686</v>
      </c>
      <c r="G110" s="4">
        <v>91</v>
      </c>
      <c r="H110" s="16" t="s">
        <v>36</v>
      </c>
      <c r="I110" s="16" t="str">
        <f>_xlfn.TEXTJOIN(" ",TRUE, Raw_Employee_Data!$B110,Raw_Employee_Data!$C110)</f>
        <v>Sarah Miller</v>
      </c>
      <c r="J110" s="11" t="str">
        <f>_xlfn.XLOOKUP(D110,Lookup_Departments!A:A,Lookup_Departments!B:B)</f>
        <v>Sales</v>
      </c>
      <c r="K110" s="11">
        <f t="shared" ca="1" si="1"/>
        <v>5</v>
      </c>
      <c r="L110" t="str" cm="1">
        <f t="array" ref="L110">_xlfn.IFS(G110&lt;=49,"Needs Improvement",G110&lt;=69,"Developing",G110&lt;=84,"Achieving",G110&lt;=94,"Exceeding",G110&lt;=100,"Outstanding")</f>
        <v>Exceeding</v>
      </c>
      <c r="M110" s="25">
        <f>F110*_xlfn.XLOOKUP(L110,Lookup_Performance!$C$2:$C$6,Lookup_Performance!$D$2:$D$6,0)</f>
        <v>7654.88</v>
      </c>
    </row>
    <row r="111" spans="1:13" x14ac:dyDescent="0.35">
      <c r="A111" s="5" t="s">
        <v>154</v>
      </c>
      <c r="B111" s="5" t="s">
        <v>30</v>
      </c>
      <c r="C111" s="5" t="s">
        <v>22</v>
      </c>
      <c r="D111" s="14" t="s">
        <v>35</v>
      </c>
      <c r="E111" s="7">
        <v>44394</v>
      </c>
      <c r="F111" s="15">
        <v>114681</v>
      </c>
      <c r="G111" s="5">
        <v>36</v>
      </c>
      <c r="H111" s="14" t="s">
        <v>36</v>
      </c>
      <c r="I111" s="14" t="str">
        <f>_xlfn.TEXTJOIN(" ",TRUE, Raw_Employee_Data!$B111,Raw_Employee_Data!$C111)</f>
        <v>Jessica Smith</v>
      </c>
      <c r="J111" s="11" t="str">
        <f>_xlfn.XLOOKUP(D111,Lookup_Departments!A:A,Lookup_Departments!B:B)</f>
        <v>Sales</v>
      </c>
      <c r="K111" s="11">
        <f t="shared" ca="1" si="1"/>
        <v>4</v>
      </c>
      <c r="L111" t="str" cm="1">
        <f t="array" ref="L111">_xlfn.IFS(G111&lt;=49,"Needs Improvement",G111&lt;=69,"Developing",G111&lt;=84,"Achieving",G111&lt;=94,"Exceeding",G111&lt;=100,"Outstanding")</f>
        <v>Needs Improvement</v>
      </c>
      <c r="M111" s="25">
        <f>F111*_xlfn.XLOOKUP(L111,Lookup_Performance!$C$2:$C$6,Lookup_Performance!$D$2:$D$6,0)</f>
        <v>0</v>
      </c>
    </row>
    <row r="112" spans="1:13" x14ac:dyDescent="0.35">
      <c r="A112" s="4" t="s">
        <v>155</v>
      </c>
      <c r="B112" s="4" t="s">
        <v>21</v>
      </c>
      <c r="C112" s="4" t="s">
        <v>46</v>
      </c>
      <c r="D112" s="16" t="s">
        <v>26</v>
      </c>
      <c r="E112" s="7">
        <v>42687</v>
      </c>
      <c r="F112" s="17">
        <v>109121</v>
      </c>
      <c r="G112" s="4">
        <v>72</v>
      </c>
      <c r="H112" s="16" t="s">
        <v>36</v>
      </c>
      <c r="I112" s="16" t="str">
        <f>_xlfn.TEXTJOIN(" ",TRUE, Raw_Employee_Data!$B112,Raw_Employee_Data!$C112)</f>
        <v>Thomas Jones</v>
      </c>
      <c r="J112" s="11" t="str">
        <f>_xlfn.XLOOKUP(D112,Lookup_Departments!A:A,Lookup_Departments!B:B)</f>
        <v>Operations</v>
      </c>
      <c r="K112" s="11">
        <f t="shared" ca="1" si="1"/>
        <v>9</v>
      </c>
      <c r="L112" t="str" cm="1">
        <f t="array" ref="L112">_xlfn.IFS(G112&lt;=49,"Needs Improvement",G112&lt;=69,"Developing",G112&lt;=84,"Achieving",G112&lt;=94,"Exceeding",G112&lt;=100,"Outstanding")</f>
        <v>Achieving</v>
      </c>
      <c r="M112" s="25">
        <f>F112*_xlfn.XLOOKUP(L112,Lookup_Performance!$C$2:$C$6,Lookup_Performance!$D$2:$D$6,0)</f>
        <v>5456.05</v>
      </c>
    </row>
    <row r="113" spans="1:13" x14ac:dyDescent="0.35">
      <c r="A113" s="5" t="s">
        <v>156</v>
      </c>
      <c r="B113" s="5" t="s">
        <v>56</v>
      </c>
      <c r="C113" s="5" t="s">
        <v>8</v>
      </c>
      <c r="D113" s="14" t="s">
        <v>13</v>
      </c>
      <c r="E113" s="7">
        <v>43513</v>
      </c>
      <c r="F113" s="15">
        <v>112791</v>
      </c>
      <c r="G113" s="5">
        <v>87</v>
      </c>
      <c r="H113" s="14" t="s">
        <v>36</v>
      </c>
      <c r="I113" s="14" t="str">
        <f>_xlfn.TEXTJOIN(" ",TRUE, Raw_Employee_Data!$B113,Raw_Employee_Data!$C113)</f>
        <v>Amanda Brown</v>
      </c>
      <c r="J113" s="11" t="str">
        <f>_xlfn.XLOOKUP(D113,Lookup_Departments!A:A,Lookup_Departments!B:B)</f>
        <v>Marketing</v>
      </c>
      <c r="K113" s="11">
        <f t="shared" ca="1" si="1"/>
        <v>7</v>
      </c>
      <c r="L113" t="str" cm="1">
        <f t="array" ref="L113">_xlfn.IFS(G113&lt;=49,"Needs Improvement",G113&lt;=69,"Developing",G113&lt;=84,"Achieving",G113&lt;=94,"Exceeding",G113&lt;=100,"Outstanding")</f>
        <v>Exceeding</v>
      </c>
      <c r="M113" s="25">
        <f>F113*_xlfn.XLOOKUP(L113,Lookup_Performance!$C$2:$C$6,Lookup_Performance!$D$2:$D$6,0)</f>
        <v>9023.2800000000007</v>
      </c>
    </row>
    <row r="114" spans="1:13" x14ac:dyDescent="0.35">
      <c r="A114" s="4" t="s">
        <v>157</v>
      </c>
      <c r="B114" s="4" t="s">
        <v>45</v>
      </c>
      <c r="C114" s="4" t="s">
        <v>18</v>
      </c>
      <c r="D114" s="16" t="s">
        <v>9</v>
      </c>
      <c r="E114" s="7">
        <v>42713</v>
      </c>
      <c r="F114" s="17">
        <v>118008</v>
      </c>
      <c r="G114" s="4">
        <v>71</v>
      </c>
      <c r="H114" s="16" t="s">
        <v>36</v>
      </c>
      <c r="I114" s="16" t="str">
        <f>_xlfn.TEXTJOIN(" ",TRUE, Raw_Employee_Data!$B114,Raw_Employee_Data!$C114)</f>
        <v>Robert Martinez</v>
      </c>
      <c r="J114" s="11" t="str">
        <f>_xlfn.XLOOKUP(D114,Lookup_Departments!A:A,Lookup_Departments!B:B)</f>
        <v>Information Technology</v>
      </c>
      <c r="K114" s="11">
        <f t="shared" ca="1" si="1"/>
        <v>9</v>
      </c>
      <c r="L114" t="str" cm="1">
        <f t="array" ref="L114">_xlfn.IFS(G114&lt;=49,"Needs Improvement",G114&lt;=69,"Developing",G114&lt;=84,"Achieving",G114&lt;=94,"Exceeding",G114&lt;=100,"Outstanding")</f>
        <v>Achieving</v>
      </c>
      <c r="M114" s="25">
        <f>F114*_xlfn.XLOOKUP(L114,Lookup_Performance!$C$2:$C$6,Lookup_Performance!$D$2:$D$6,0)</f>
        <v>5900.4000000000005</v>
      </c>
    </row>
    <row r="115" spans="1:13" x14ac:dyDescent="0.35">
      <c r="A115" s="5" t="s">
        <v>158</v>
      </c>
      <c r="B115" s="5" t="s">
        <v>21</v>
      </c>
      <c r="C115" s="5" t="s">
        <v>38</v>
      </c>
      <c r="D115" s="14" t="s">
        <v>9</v>
      </c>
      <c r="E115" s="7">
        <v>44421</v>
      </c>
      <c r="F115" s="15">
        <v>74370</v>
      </c>
      <c r="G115" s="5">
        <v>82</v>
      </c>
      <c r="H115" s="14" t="s">
        <v>36</v>
      </c>
      <c r="I115" s="14" t="str">
        <f>_xlfn.TEXTJOIN(" ",TRUE, Raw_Employee_Data!$B115,Raw_Employee_Data!$C115)</f>
        <v>Thomas Miller</v>
      </c>
      <c r="J115" s="11" t="str">
        <f>_xlfn.XLOOKUP(D115,Lookup_Departments!A:A,Lookup_Departments!B:B)</f>
        <v>Information Technology</v>
      </c>
      <c r="K115" s="11">
        <f t="shared" ca="1" si="1"/>
        <v>4</v>
      </c>
      <c r="L115" t="str" cm="1">
        <f t="array" ref="L115">_xlfn.IFS(G115&lt;=49,"Needs Improvement",G115&lt;=69,"Developing",G115&lt;=84,"Achieving",G115&lt;=94,"Exceeding",G115&lt;=100,"Outstanding")</f>
        <v>Achieving</v>
      </c>
      <c r="M115" s="25">
        <f>F115*_xlfn.XLOOKUP(L115,Lookup_Performance!$C$2:$C$6,Lookup_Performance!$D$2:$D$6,0)</f>
        <v>3718.5</v>
      </c>
    </row>
    <row r="116" spans="1:13" x14ac:dyDescent="0.35">
      <c r="A116" s="4" t="s">
        <v>159</v>
      </c>
      <c r="B116" s="4" t="s">
        <v>82</v>
      </c>
      <c r="C116" s="4" t="s">
        <v>32</v>
      </c>
      <c r="D116" s="16" t="s">
        <v>9</v>
      </c>
      <c r="E116" s="7">
        <v>43996</v>
      </c>
      <c r="F116" s="17">
        <v>77819</v>
      </c>
      <c r="G116" s="4">
        <v>79</v>
      </c>
      <c r="H116" s="16" t="s">
        <v>36</v>
      </c>
      <c r="I116" s="16" t="str">
        <f>_xlfn.TEXTJOIN(" ",TRUE, Raw_Employee_Data!$B116,Raw_Employee_Data!$C116)</f>
        <v>David Rodriguez</v>
      </c>
      <c r="J116" s="11" t="str">
        <f>_xlfn.XLOOKUP(D116,Lookup_Departments!A:A,Lookup_Departments!B:B)</f>
        <v>Information Technology</v>
      </c>
      <c r="K116" s="11">
        <f t="shared" ca="1" si="1"/>
        <v>6</v>
      </c>
      <c r="L116" t="str" cm="1">
        <f t="array" ref="L116">_xlfn.IFS(G116&lt;=49,"Needs Improvement",G116&lt;=69,"Developing",G116&lt;=84,"Achieving",G116&lt;=94,"Exceeding",G116&lt;=100,"Outstanding")</f>
        <v>Achieving</v>
      </c>
      <c r="M116" s="25">
        <f>F116*_xlfn.XLOOKUP(L116,Lookup_Performance!$C$2:$C$6,Lookup_Performance!$D$2:$D$6,0)</f>
        <v>3890.9500000000003</v>
      </c>
    </row>
    <row r="117" spans="1:13" x14ac:dyDescent="0.35">
      <c r="A117" s="5" t="s">
        <v>160</v>
      </c>
      <c r="B117" s="5" t="s">
        <v>41</v>
      </c>
      <c r="C117" s="5" t="s">
        <v>38</v>
      </c>
      <c r="D117" s="14" t="s">
        <v>13</v>
      </c>
      <c r="E117" s="7">
        <v>44747</v>
      </c>
      <c r="F117" s="15">
        <v>48748</v>
      </c>
      <c r="G117" s="5">
        <v>83</v>
      </c>
      <c r="H117" s="14" t="s">
        <v>84</v>
      </c>
      <c r="I117" s="14" t="str">
        <f>_xlfn.TEXTJOIN(" ",TRUE, Raw_Employee_Data!$B117,Raw_Employee_Data!$C117)</f>
        <v>Jane Miller</v>
      </c>
      <c r="J117" s="11" t="str">
        <f>_xlfn.XLOOKUP(D117,Lookup_Departments!A:A,Lookup_Departments!B:B)</f>
        <v>Marketing</v>
      </c>
      <c r="K117" s="11">
        <f t="shared" ca="1" si="1"/>
        <v>4</v>
      </c>
      <c r="L117" t="str" cm="1">
        <f t="array" ref="L117">_xlfn.IFS(G117&lt;=49,"Needs Improvement",G117&lt;=69,"Developing",G117&lt;=84,"Achieving",G117&lt;=94,"Exceeding",G117&lt;=100,"Outstanding")</f>
        <v>Achieving</v>
      </c>
      <c r="M117" s="25">
        <f>F117*_xlfn.XLOOKUP(L117,Lookup_Performance!$C$2:$C$6,Lookup_Performance!$D$2:$D$6,0)</f>
        <v>2437.4</v>
      </c>
    </row>
    <row r="118" spans="1:13" x14ac:dyDescent="0.35">
      <c r="A118" s="4" t="s">
        <v>161</v>
      </c>
      <c r="B118" s="4" t="s">
        <v>51</v>
      </c>
      <c r="C118" s="4" t="s">
        <v>32</v>
      </c>
      <c r="D118" s="16" t="s">
        <v>26</v>
      </c>
      <c r="E118" s="7">
        <v>42650</v>
      </c>
      <c r="F118" s="17">
        <v>101997</v>
      </c>
      <c r="G118" s="4">
        <v>38</v>
      </c>
      <c r="H118" s="16" t="s">
        <v>36</v>
      </c>
      <c r="I118" s="16" t="str">
        <f>_xlfn.TEXTJOIN(" ",TRUE, Raw_Employee_Data!$B118,Raw_Employee_Data!$C118)</f>
        <v>James Rodriguez</v>
      </c>
      <c r="J118" s="11" t="str">
        <f>_xlfn.XLOOKUP(D118,Lookup_Departments!A:A,Lookup_Departments!B:B)</f>
        <v>Operations</v>
      </c>
      <c r="K118" s="11">
        <f t="shared" ca="1" si="1"/>
        <v>9</v>
      </c>
      <c r="L118" t="str" cm="1">
        <f t="array" ref="L118">_xlfn.IFS(G118&lt;=49,"Needs Improvement",G118&lt;=69,"Developing",G118&lt;=84,"Achieving",G118&lt;=94,"Exceeding",G118&lt;=100,"Outstanding")</f>
        <v>Needs Improvement</v>
      </c>
      <c r="M118" s="25">
        <f>F118*_xlfn.XLOOKUP(L118,Lookup_Performance!$C$2:$C$6,Lookup_Performance!$D$2:$D$6,0)</f>
        <v>0</v>
      </c>
    </row>
    <row r="119" spans="1:13" x14ac:dyDescent="0.35">
      <c r="A119" s="5" t="s">
        <v>162</v>
      </c>
      <c r="B119" s="5" t="s">
        <v>70</v>
      </c>
      <c r="C119" s="5" t="s">
        <v>32</v>
      </c>
      <c r="D119" s="14" t="s">
        <v>72</v>
      </c>
      <c r="E119" s="7">
        <v>44674</v>
      </c>
      <c r="F119" s="15">
        <v>115260</v>
      </c>
      <c r="G119" s="5">
        <v>77</v>
      </c>
      <c r="H119" s="14" t="s">
        <v>36</v>
      </c>
      <c r="I119" s="14" t="str">
        <f>_xlfn.TEXTJOIN(" ",TRUE, Raw_Employee_Data!$B119,Raw_Employee_Data!$C119)</f>
        <v>Sarah Rodriguez</v>
      </c>
      <c r="J119" s="11" t="str">
        <f>_xlfn.XLOOKUP(D119,Lookup_Departments!A:A,Lookup_Departments!B:B)</f>
        <v>Human Resources</v>
      </c>
      <c r="K119" s="11">
        <f t="shared" ca="1" si="1"/>
        <v>4</v>
      </c>
      <c r="L119" t="str" cm="1">
        <f t="array" ref="L119">_xlfn.IFS(G119&lt;=49,"Needs Improvement",G119&lt;=69,"Developing",G119&lt;=84,"Achieving",G119&lt;=94,"Exceeding",G119&lt;=100,"Outstanding")</f>
        <v>Achieving</v>
      </c>
      <c r="M119" s="25">
        <f>F119*_xlfn.XLOOKUP(L119,Lookup_Performance!$C$2:$C$6,Lookup_Performance!$D$2:$D$6,0)</f>
        <v>5763</v>
      </c>
    </row>
    <row r="120" spans="1:13" x14ac:dyDescent="0.35">
      <c r="A120" s="4" t="s">
        <v>163</v>
      </c>
      <c r="B120" s="4" t="s">
        <v>70</v>
      </c>
      <c r="C120" s="4" t="s">
        <v>28</v>
      </c>
      <c r="D120" s="16" t="s">
        <v>35</v>
      </c>
      <c r="E120" s="7">
        <v>43013</v>
      </c>
      <c r="F120" s="17">
        <v>82713.429999999993</v>
      </c>
      <c r="G120" s="4">
        <v>49</v>
      </c>
      <c r="H120" s="16" t="s">
        <v>23</v>
      </c>
      <c r="I120" s="16" t="str">
        <f>_xlfn.TEXTJOIN(" ",TRUE, Raw_Employee_Data!$B120,Raw_Employee_Data!$C120)</f>
        <v>Sarah Wilson</v>
      </c>
      <c r="J120" s="11" t="str">
        <f>_xlfn.XLOOKUP(D120,Lookup_Departments!A:A,Lookup_Departments!B:B)</f>
        <v>Sales</v>
      </c>
      <c r="K120" s="11">
        <f t="shared" ca="1" si="1"/>
        <v>8</v>
      </c>
      <c r="L120" t="str" cm="1">
        <f t="array" ref="L120">_xlfn.IFS(G120&lt;=49,"Needs Improvement",G120&lt;=69,"Developing",G120&lt;=84,"Achieving",G120&lt;=94,"Exceeding",G120&lt;=100,"Outstanding")</f>
        <v>Needs Improvement</v>
      </c>
      <c r="M120" s="25">
        <f>F120*_xlfn.XLOOKUP(L120,Lookup_Performance!$C$2:$C$6,Lookup_Performance!$D$2:$D$6,0)</f>
        <v>0</v>
      </c>
    </row>
    <row r="121" spans="1:13" x14ac:dyDescent="0.35">
      <c r="A121" s="5" t="s">
        <v>164</v>
      </c>
      <c r="B121" s="5" t="s">
        <v>77</v>
      </c>
      <c r="C121" s="5" t="s">
        <v>8</v>
      </c>
      <c r="D121" s="14" t="s">
        <v>9</v>
      </c>
      <c r="E121" s="7">
        <v>43971</v>
      </c>
      <c r="F121" s="15">
        <v>82713.429999999993</v>
      </c>
      <c r="G121" s="5">
        <v>69</v>
      </c>
      <c r="H121" s="14" t="s">
        <v>36</v>
      </c>
      <c r="I121" s="14" t="str">
        <f>_xlfn.TEXTJOIN(" ",TRUE, Raw_Employee_Data!$B121,Raw_Employee_Data!$C121)</f>
        <v>Melissa Brown</v>
      </c>
      <c r="J121" s="11" t="str">
        <f>_xlfn.XLOOKUP(D121,Lookup_Departments!A:A,Lookup_Departments!B:B)</f>
        <v>Information Technology</v>
      </c>
      <c r="K121" s="11">
        <f t="shared" ca="1" si="1"/>
        <v>6</v>
      </c>
      <c r="L121" t="str" cm="1">
        <f t="array" ref="L121">_xlfn.IFS(G121&lt;=49,"Needs Improvement",G121&lt;=69,"Developing",G121&lt;=84,"Achieving",G121&lt;=94,"Exceeding",G121&lt;=100,"Outstanding")</f>
        <v>Developing</v>
      </c>
      <c r="M121" s="25">
        <f>F121*_xlfn.XLOOKUP(L121,Lookup_Performance!$C$2:$C$6,Lookup_Performance!$D$2:$D$6,0)</f>
        <v>1654.2685999999999</v>
      </c>
    </row>
    <row r="122" spans="1:13" x14ac:dyDescent="0.35">
      <c r="A122" s="4" t="s">
        <v>165</v>
      </c>
      <c r="B122" s="4" t="s">
        <v>45</v>
      </c>
      <c r="C122" s="4" t="s">
        <v>42</v>
      </c>
      <c r="D122" s="16" t="s">
        <v>35</v>
      </c>
      <c r="E122" s="7">
        <v>45036</v>
      </c>
      <c r="F122" s="17">
        <v>82713.429999999993</v>
      </c>
      <c r="G122" s="4">
        <v>76</v>
      </c>
      <c r="H122" s="16" t="s">
        <v>36</v>
      </c>
      <c r="I122" s="16" t="str">
        <f>_xlfn.TEXTJOIN(" ",TRUE, Raw_Employee_Data!$B122,Raw_Employee_Data!$C122)</f>
        <v>Robert Williams</v>
      </c>
      <c r="J122" s="11" t="str">
        <f>_xlfn.XLOOKUP(D122,Lookup_Departments!A:A,Lookup_Departments!B:B)</f>
        <v>Sales</v>
      </c>
      <c r="K122" s="11">
        <f t="shared" ca="1" si="1"/>
        <v>3</v>
      </c>
      <c r="L122" t="str" cm="1">
        <f t="array" ref="L122">_xlfn.IFS(G122&lt;=49,"Needs Improvement",G122&lt;=69,"Developing",G122&lt;=84,"Achieving",G122&lt;=94,"Exceeding",G122&lt;=100,"Outstanding")</f>
        <v>Achieving</v>
      </c>
      <c r="M122" s="25">
        <f>F122*_xlfn.XLOOKUP(L122,Lookup_Performance!$C$2:$C$6,Lookup_Performance!$D$2:$D$6,0)</f>
        <v>4135.6714999999995</v>
      </c>
    </row>
    <row r="123" spans="1:13" x14ac:dyDescent="0.35">
      <c r="A123" s="5" t="s">
        <v>166</v>
      </c>
      <c r="B123" s="5" t="s">
        <v>77</v>
      </c>
      <c r="C123" s="5" t="s">
        <v>32</v>
      </c>
      <c r="D123" s="14" t="s">
        <v>26</v>
      </c>
      <c r="E123" s="7">
        <v>44500</v>
      </c>
      <c r="F123" s="15">
        <v>60623</v>
      </c>
      <c r="G123" s="5">
        <v>78</v>
      </c>
      <c r="H123" s="14" t="s">
        <v>36</v>
      </c>
      <c r="I123" s="14" t="str">
        <f>_xlfn.TEXTJOIN(" ",TRUE, Raw_Employee_Data!$B123,Raw_Employee_Data!$C123)</f>
        <v>Melissa Rodriguez</v>
      </c>
      <c r="J123" s="11" t="str">
        <f>_xlfn.XLOOKUP(D123,Lookup_Departments!A:A,Lookup_Departments!B:B)</f>
        <v>Operations</v>
      </c>
      <c r="K123" s="11">
        <f t="shared" ca="1" si="1"/>
        <v>4</v>
      </c>
      <c r="L123" t="str" cm="1">
        <f t="array" ref="L123">_xlfn.IFS(G123&lt;=49,"Needs Improvement",G123&lt;=69,"Developing",G123&lt;=84,"Achieving",G123&lt;=94,"Exceeding",G123&lt;=100,"Outstanding")</f>
        <v>Achieving</v>
      </c>
      <c r="M123" s="25">
        <f>F123*_xlfn.XLOOKUP(L123,Lookup_Performance!$C$2:$C$6,Lookup_Performance!$D$2:$D$6,0)</f>
        <v>3031.15</v>
      </c>
    </row>
    <row r="124" spans="1:13" x14ac:dyDescent="0.35">
      <c r="A124" s="4" t="s">
        <v>167</v>
      </c>
      <c r="B124" s="4" t="s">
        <v>51</v>
      </c>
      <c r="C124" s="4" t="s">
        <v>25</v>
      </c>
      <c r="D124" s="16" t="s">
        <v>72</v>
      </c>
      <c r="E124" s="7">
        <v>44493</v>
      </c>
      <c r="F124" s="17">
        <v>68092</v>
      </c>
      <c r="G124" s="4">
        <v>93</v>
      </c>
      <c r="H124" s="16" t="s">
        <v>36</v>
      </c>
      <c r="I124" s="16" t="str">
        <f>_xlfn.TEXTJOIN(" ",TRUE, Raw_Employee_Data!$B124,Raw_Employee_Data!$C124)</f>
        <v>James Johnson</v>
      </c>
      <c r="J124" s="11" t="str">
        <f>_xlfn.XLOOKUP(D124,Lookup_Departments!A:A,Lookup_Departments!B:B)</f>
        <v>Human Resources</v>
      </c>
      <c r="K124" s="11">
        <f t="shared" ca="1" si="1"/>
        <v>4</v>
      </c>
      <c r="L124" t="str" cm="1">
        <f t="array" ref="L124">_xlfn.IFS(G124&lt;=49,"Needs Improvement",G124&lt;=69,"Developing",G124&lt;=84,"Achieving",G124&lt;=94,"Exceeding",G124&lt;=100,"Outstanding")</f>
        <v>Exceeding</v>
      </c>
      <c r="M124" s="25">
        <f>F124*_xlfn.XLOOKUP(L124,Lookup_Performance!$C$2:$C$6,Lookup_Performance!$D$2:$D$6,0)</f>
        <v>5447.36</v>
      </c>
    </row>
    <row r="125" spans="1:13" x14ac:dyDescent="0.35">
      <c r="A125" s="5" t="s">
        <v>168</v>
      </c>
      <c r="B125" s="5" t="s">
        <v>34</v>
      </c>
      <c r="C125" s="5" t="s">
        <v>28</v>
      </c>
      <c r="D125" s="14" t="s">
        <v>13</v>
      </c>
      <c r="E125" s="7">
        <v>42986</v>
      </c>
      <c r="F125" s="15">
        <v>88155</v>
      </c>
      <c r="G125" s="5">
        <v>68</v>
      </c>
      <c r="H125" s="14" t="s">
        <v>36</v>
      </c>
      <c r="I125" s="14" t="str">
        <f>_xlfn.TEXTJOIN(" ",TRUE, Raw_Employee_Data!$B125,Raw_Employee_Data!$C125)</f>
        <v>Michael Wilson</v>
      </c>
      <c r="J125" s="11" t="str">
        <f>_xlfn.XLOOKUP(D125,Lookup_Departments!A:A,Lookup_Departments!B:B)</f>
        <v>Marketing</v>
      </c>
      <c r="K125" s="11">
        <f t="shared" ca="1" si="1"/>
        <v>8</v>
      </c>
      <c r="L125" t="str" cm="1">
        <f t="array" ref="L125">_xlfn.IFS(G125&lt;=49,"Needs Improvement",G125&lt;=69,"Developing",G125&lt;=84,"Achieving",G125&lt;=94,"Exceeding",G125&lt;=100,"Outstanding")</f>
        <v>Developing</v>
      </c>
      <c r="M125" s="25">
        <f>F125*_xlfn.XLOOKUP(L125,Lookup_Performance!$C$2:$C$6,Lookup_Performance!$D$2:$D$6,0)</f>
        <v>1763.1000000000001</v>
      </c>
    </row>
    <row r="126" spans="1:13" x14ac:dyDescent="0.35">
      <c r="A126" s="4" t="s">
        <v>169</v>
      </c>
      <c r="B126" s="4" t="s">
        <v>115</v>
      </c>
      <c r="C126" s="4" t="s">
        <v>46</v>
      </c>
      <c r="D126" s="16" t="s">
        <v>13</v>
      </c>
      <c r="E126" s="7">
        <v>45017</v>
      </c>
      <c r="F126" s="17">
        <v>107903</v>
      </c>
      <c r="G126" s="4">
        <v>42</v>
      </c>
      <c r="H126" s="16" t="s">
        <v>36</v>
      </c>
      <c r="I126" s="16" t="str">
        <f>_xlfn.TEXTJOIN(" ",TRUE, Raw_Employee_Data!$B126,Raw_Employee_Data!$C126)</f>
        <v>William Jones</v>
      </c>
      <c r="J126" s="11" t="str">
        <f>_xlfn.XLOOKUP(D126,Lookup_Departments!A:A,Lookup_Departments!B:B)</f>
        <v>Marketing</v>
      </c>
      <c r="K126" s="11">
        <f t="shared" ca="1" si="1"/>
        <v>3</v>
      </c>
      <c r="L126" t="str" cm="1">
        <f t="array" ref="L126">_xlfn.IFS(G126&lt;=49,"Needs Improvement",G126&lt;=69,"Developing",G126&lt;=84,"Achieving",G126&lt;=94,"Exceeding",G126&lt;=100,"Outstanding")</f>
        <v>Needs Improvement</v>
      </c>
      <c r="M126" s="25">
        <f>F126*_xlfn.XLOOKUP(L126,Lookup_Performance!$C$2:$C$6,Lookup_Performance!$D$2:$D$6,0)</f>
        <v>0</v>
      </c>
    </row>
    <row r="127" spans="1:13" x14ac:dyDescent="0.35">
      <c r="A127" s="5" t="s">
        <v>170</v>
      </c>
      <c r="B127" s="5" t="s">
        <v>115</v>
      </c>
      <c r="C127" s="5" t="s">
        <v>42</v>
      </c>
      <c r="D127" s="14" t="s">
        <v>9</v>
      </c>
      <c r="E127" s="7">
        <v>44053</v>
      </c>
      <c r="F127" s="15">
        <v>62818</v>
      </c>
      <c r="G127" s="5">
        <v>34</v>
      </c>
      <c r="H127" s="14" t="s">
        <v>36</v>
      </c>
      <c r="I127" s="14" t="str">
        <f>_xlfn.TEXTJOIN(" ",TRUE, Raw_Employee_Data!$B127,Raw_Employee_Data!$C127)</f>
        <v>William Williams</v>
      </c>
      <c r="J127" s="11" t="str">
        <f>_xlfn.XLOOKUP(D127,Lookup_Departments!A:A,Lookup_Departments!B:B)</f>
        <v>Information Technology</v>
      </c>
      <c r="K127" s="11">
        <f t="shared" ca="1" si="1"/>
        <v>5</v>
      </c>
      <c r="L127" t="str" cm="1">
        <f t="array" ref="L127">_xlfn.IFS(G127&lt;=49,"Needs Improvement",G127&lt;=69,"Developing",G127&lt;=84,"Achieving",G127&lt;=94,"Exceeding",G127&lt;=100,"Outstanding")</f>
        <v>Needs Improvement</v>
      </c>
      <c r="M127" s="25">
        <f>F127*_xlfn.XLOOKUP(L127,Lookup_Performance!$C$2:$C$6,Lookup_Performance!$D$2:$D$6,0)</f>
        <v>0</v>
      </c>
    </row>
    <row r="128" spans="1:13" x14ac:dyDescent="0.35">
      <c r="A128" s="4" t="s">
        <v>171</v>
      </c>
      <c r="B128" s="4" t="s">
        <v>82</v>
      </c>
      <c r="C128" s="4" t="s">
        <v>42</v>
      </c>
      <c r="D128" s="16" t="s">
        <v>72</v>
      </c>
      <c r="E128" s="7">
        <v>44596</v>
      </c>
      <c r="F128" s="17">
        <v>85151</v>
      </c>
      <c r="G128" s="4">
        <v>35</v>
      </c>
      <c r="H128" s="16" t="s">
        <v>36</v>
      </c>
      <c r="I128" s="16" t="str">
        <f>_xlfn.TEXTJOIN(" ",TRUE, Raw_Employee_Data!$B128,Raw_Employee_Data!$C128)</f>
        <v>David Williams</v>
      </c>
      <c r="J128" s="11" t="str">
        <f>_xlfn.XLOOKUP(D128,Lookup_Departments!A:A,Lookup_Departments!B:B)</f>
        <v>Human Resources</v>
      </c>
      <c r="K128" s="11">
        <f t="shared" ca="1" si="1"/>
        <v>4</v>
      </c>
      <c r="L128" t="str" cm="1">
        <f t="array" ref="L128">_xlfn.IFS(G128&lt;=49,"Needs Improvement",G128&lt;=69,"Developing",G128&lt;=84,"Achieving",G128&lt;=94,"Exceeding",G128&lt;=100,"Outstanding")</f>
        <v>Needs Improvement</v>
      </c>
      <c r="M128" s="25">
        <f>F128*_xlfn.XLOOKUP(L128,Lookup_Performance!$C$2:$C$6,Lookup_Performance!$D$2:$D$6,0)</f>
        <v>0</v>
      </c>
    </row>
    <row r="129" spans="1:13" x14ac:dyDescent="0.35">
      <c r="A129" s="5" t="s">
        <v>172</v>
      </c>
      <c r="B129" s="5" t="s">
        <v>41</v>
      </c>
      <c r="C129" s="5" t="s">
        <v>49</v>
      </c>
      <c r="D129" s="14" t="s">
        <v>19</v>
      </c>
      <c r="E129" s="7">
        <v>43183</v>
      </c>
      <c r="F129" s="15">
        <v>46390</v>
      </c>
      <c r="G129" s="5">
        <v>95</v>
      </c>
      <c r="H129" s="14" t="s">
        <v>23</v>
      </c>
      <c r="I129" s="14" t="str">
        <f>_xlfn.TEXTJOIN(" ",TRUE, Raw_Employee_Data!$B129,Raw_Employee_Data!$C129)</f>
        <v>Jane Davis</v>
      </c>
      <c r="J129" s="11" t="str">
        <f>_xlfn.XLOOKUP(D129,Lookup_Departments!A:A,Lookup_Departments!B:B)</f>
        <v>Finance</v>
      </c>
      <c r="K129" s="11">
        <f t="shared" ca="1" si="1"/>
        <v>8</v>
      </c>
      <c r="L129" t="str" cm="1">
        <f t="array" ref="L129">_xlfn.IFS(G129&lt;=49,"Needs Improvement",G129&lt;=69,"Developing",G129&lt;=84,"Achieving",G129&lt;=94,"Exceeding",G129&lt;=100,"Outstanding")</f>
        <v>Outstanding</v>
      </c>
      <c r="M129" s="25">
        <f>F129*_xlfn.XLOOKUP(L129,Lookup_Performance!$C$2:$C$6,Lookup_Performance!$D$2:$D$6,0)</f>
        <v>5566.8</v>
      </c>
    </row>
    <row r="130" spans="1:13" x14ac:dyDescent="0.35">
      <c r="A130" s="4" t="s">
        <v>173</v>
      </c>
      <c r="B130" s="4" t="s">
        <v>17</v>
      </c>
      <c r="C130" s="4" t="s">
        <v>18</v>
      </c>
      <c r="D130" s="16" t="s">
        <v>72</v>
      </c>
      <c r="E130" s="7">
        <v>43305</v>
      </c>
      <c r="F130" s="17">
        <v>111920</v>
      </c>
      <c r="G130" s="4">
        <v>90</v>
      </c>
      <c r="H130" s="16" t="s">
        <v>36</v>
      </c>
      <c r="I130" s="16" t="str">
        <f>_xlfn.TEXTJOIN(" ",TRUE, Raw_Employee_Data!$B130,Raw_Employee_Data!$C130)</f>
        <v>John Martinez</v>
      </c>
      <c r="J130" s="11" t="str">
        <f>_xlfn.XLOOKUP(D130,Lookup_Departments!A:A,Lookup_Departments!B:B)</f>
        <v>Human Resources</v>
      </c>
      <c r="K130" s="11">
        <f t="shared" ca="1" si="1"/>
        <v>7</v>
      </c>
      <c r="L130" t="str" cm="1">
        <f t="array" ref="L130">_xlfn.IFS(G130&lt;=49,"Needs Improvement",G130&lt;=69,"Developing",G130&lt;=84,"Achieving",G130&lt;=94,"Exceeding",G130&lt;=100,"Outstanding")</f>
        <v>Exceeding</v>
      </c>
      <c r="M130" s="25">
        <f>F130*_xlfn.XLOOKUP(L130,Lookup_Performance!$C$2:$C$6,Lookup_Performance!$D$2:$D$6,0)</f>
        <v>8953.6</v>
      </c>
    </row>
    <row r="131" spans="1:13" x14ac:dyDescent="0.35">
      <c r="A131" s="5" t="s">
        <v>174</v>
      </c>
      <c r="B131" s="5" t="s">
        <v>82</v>
      </c>
      <c r="C131" s="5" t="s">
        <v>99</v>
      </c>
      <c r="D131" s="14" t="s">
        <v>72</v>
      </c>
      <c r="E131" s="7">
        <v>43301</v>
      </c>
      <c r="F131" s="15">
        <v>115618</v>
      </c>
      <c r="G131" s="5">
        <v>42</v>
      </c>
      <c r="H131" s="14" t="s">
        <v>84</v>
      </c>
      <c r="I131" s="14" t="str">
        <f>_xlfn.TEXTJOIN(" ",TRUE, Raw_Employee_Data!$B131,Raw_Employee_Data!$C131)</f>
        <v>David Anderson</v>
      </c>
      <c r="J131" s="11" t="str">
        <f>_xlfn.XLOOKUP(D131,Lookup_Departments!A:A,Lookup_Departments!B:B)</f>
        <v>Human Resources</v>
      </c>
      <c r="K131" s="11">
        <f t="shared" ref="K131:K151" ca="1" si="2">DATEDIF(E131,TODAY(),"Y")</f>
        <v>7</v>
      </c>
      <c r="L131" t="str" cm="1">
        <f t="array" ref="L131">_xlfn.IFS(G131&lt;=49,"Needs Improvement",G131&lt;=69,"Developing",G131&lt;=84,"Achieving",G131&lt;=94,"Exceeding",G131&lt;=100,"Outstanding")</f>
        <v>Needs Improvement</v>
      </c>
      <c r="M131" s="25">
        <f>F131*_xlfn.XLOOKUP(L131,Lookup_Performance!$C$2:$C$6,Lookup_Performance!$D$2:$D$6,0)</f>
        <v>0</v>
      </c>
    </row>
    <row r="132" spans="1:13" x14ac:dyDescent="0.35">
      <c r="A132" s="4" t="s">
        <v>175</v>
      </c>
      <c r="B132" s="4" t="s">
        <v>70</v>
      </c>
      <c r="C132" s="4" t="s">
        <v>22</v>
      </c>
      <c r="D132" s="16" t="s">
        <v>35</v>
      </c>
      <c r="E132" s="7">
        <v>42433</v>
      </c>
      <c r="F132" s="17">
        <v>110618</v>
      </c>
      <c r="G132" s="4">
        <v>88</v>
      </c>
      <c r="H132" s="16" t="s">
        <v>23</v>
      </c>
      <c r="I132" s="16" t="str">
        <f>_xlfn.TEXTJOIN(" ",TRUE, Raw_Employee_Data!$B132,Raw_Employee_Data!$C132)</f>
        <v>Sarah Smith</v>
      </c>
      <c r="J132" s="11" t="str">
        <f>_xlfn.XLOOKUP(D132,Lookup_Departments!A:A,Lookup_Departments!B:B)</f>
        <v>Sales</v>
      </c>
      <c r="K132" s="11">
        <f t="shared" ca="1" si="2"/>
        <v>10</v>
      </c>
      <c r="L132" t="str" cm="1">
        <f t="array" ref="L132">_xlfn.IFS(G132&lt;=49,"Needs Improvement",G132&lt;=69,"Developing",G132&lt;=84,"Achieving",G132&lt;=94,"Exceeding",G132&lt;=100,"Outstanding")</f>
        <v>Exceeding</v>
      </c>
      <c r="M132" s="25">
        <f>F132*_xlfn.XLOOKUP(L132,Lookup_Performance!$C$2:$C$6,Lookup_Performance!$D$2:$D$6,0)</f>
        <v>8849.44</v>
      </c>
    </row>
    <row r="133" spans="1:13" x14ac:dyDescent="0.35">
      <c r="A133" s="5" t="s">
        <v>176</v>
      </c>
      <c r="B133" s="5" t="s">
        <v>77</v>
      </c>
      <c r="C133" s="5" t="s">
        <v>12</v>
      </c>
      <c r="D133" s="14" t="s">
        <v>26</v>
      </c>
      <c r="E133" s="7">
        <v>42330</v>
      </c>
      <c r="F133" s="15">
        <v>108395</v>
      </c>
      <c r="G133" s="5">
        <v>78</v>
      </c>
      <c r="H133" s="14" t="s">
        <v>36</v>
      </c>
      <c r="I133" s="14" t="str">
        <f>_xlfn.TEXTJOIN(" ",TRUE, Raw_Employee_Data!$B133,Raw_Employee_Data!$C133)</f>
        <v>Melissa Hernandez</v>
      </c>
      <c r="J133" s="11" t="str">
        <f>_xlfn.XLOOKUP(D133,Lookup_Departments!A:A,Lookup_Departments!B:B)</f>
        <v>Operations</v>
      </c>
      <c r="K133" s="11">
        <f t="shared" ca="1" si="2"/>
        <v>10</v>
      </c>
      <c r="L133" t="str" cm="1">
        <f t="array" ref="L133">_xlfn.IFS(G133&lt;=49,"Needs Improvement",G133&lt;=69,"Developing",G133&lt;=84,"Achieving",G133&lt;=94,"Exceeding",G133&lt;=100,"Outstanding")</f>
        <v>Achieving</v>
      </c>
      <c r="M133" s="25">
        <f>F133*_xlfn.XLOOKUP(L133,Lookup_Performance!$C$2:$C$6,Lookup_Performance!$D$2:$D$6,0)</f>
        <v>5419.75</v>
      </c>
    </row>
    <row r="134" spans="1:13" x14ac:dyDescent="0.35">
      <c r="A134" s="4" t="s">
        <v>177</v>
      </c>
      <c r="B134" s="4" t="s">
        <v>77</v>
      </c>
      <c r="C134" s="4" t="s">
        <v>25</v>
      </c>
      <c r="D134" s="16" t="s">
        <v>19</v>
      </c>
      <c r="E134" s="7">
        <v>44643</v>
      </c>
      <c r="F134" s="17">
        <v>88005</v>
      </c>
      <c r="G134" s="4">
        <v>69</v>
      </c>
      <c r="H134" s="16" t="s">
        <v>36</v>
      </c>
      <c r="I134" s="16" t="str">
        <f>_xlfn.TEXTJOIN(" ",TRUE, Raw_Employee_Data!$B134,Raw_Employee_Data!$C134)</f>
        <v>Melissa Johnson</v>
      </c>
      <c r="J134" s="11" t="str">
        <f>_xlfn.XLOOKUP(D134,Lookup_Departments!A:A,Lookup_Departments!B:B)</f>
        <v>Finance</v>
      </c>
      <c r="K134" s="11">
        <f t="shared" ca="1" si="2"/>
        <v>4</v>
      </c>
      <c r="L134" t="str" cm="1">
        <f t="array" ref="L134">_xlfn.IFS(G134&lt;=49,"Needs Improvement",G134&lt;=69,"Developing",G134&lt;=84,"Achieving",G134&lt;=94,"Exceeding",G134&lt;=100,"Outstanding")</f>
        <v>Developing</v>
      </c>
      <c r="M134" s="25">
        <f>F134*_xlfn.XLOOKUP(L134,Lookup_Performance!$C$2:$C$6,Lookup_Performance!$D$2:$D$6,0)</f>
        <v>1760.1000000000001</v>
      </c>
    </row>
    <row r="135" spans="1:13" x14ac:dyDescent="0.35">
      <c r="A135" s="5" t="s">
        <v>178</v>
      </c>
      <c r="B135" s="5" t="s">
        <v>41</v>
      </c>
      <c r="C135" s="5" t="s">
        <v>97</v>
      </c>
      <c r="D135" s="14" t="s">
        <v>13</v>
      </c>
      <c r="E135" s="7">
        <v>42944</v>
      </c>
      <c r="F135" s="15">
        <v>83007</v>
      </c>
      <c r="G135" s="5">
        <v>82</v>
      </c>
      <c r="H135" s="14" t="s">
        <v>36</v>
      </c>
      <c r="I135" s="14" t="str">
        <f>_xlfn.TEXTJOIN(" ",TRUE, Raw_Employee_Data!$B135,Raw_Employee_Data!$C135)</f>
        <v>Jane Garcia</v>
      </c>
      <c r="J135" s="11" t="str">
        <f>_xlfn.XLOOKUP(D135,Lookup_Departments!A:A,Lookup_Departments!B:B)</f>
        <v>Marketing</v>
      </c>
      <c r="K135" s="11">
        <f t="shared" ca="1" si="2"/>
        <v>8</v>
      </c>
      <c r="L135" t="str" cm="1">
        <f t="array" ref="L135">_xlfn.IFS(G135&lt;=49,"Needs Improvement",G135&lt;=69,"Developing",G135&lt;=84,"Achieving",G135&lt;=94,"Exceeding",G135&lt;=100,"Outstanding")</f>
        <v>Achieving</v>
      </c>
      <c r="M135" s="25">
        <f>F135*_xlfn.XLOOKUP(L135,Lookup_Performance!$C$2:$C$6,Lookup_Performance!$D$2:$D$6,0)</f>
        <v>4150.3500000000004</v>
      </c>
    </row>
    <row r="136" spans="1:13" x14ac:dyDescent="0.35">
      <c r="A136" s="4" t="s">
        <v>179</v>
      </c>
      <c r="B136" s="4" t="s">
        <v>82</v>
      </c>
      <c r="C136" s="4" t="s">
        <v>49</v>
      </c>
      <c r="D136" s="16" t="s">
        <v>9</v>
      </c>
      <c r="E136" s="7">
        <v>45235</v>
      </c>
      <c r="F136" s="17">
        <v>61547</v>
      </c>
      <c r="G136" s="4">
        <v>68</v>
      </c>
      <c r="H136" s="16" t="s">
        <v>36</v>
      </c>
      <c r="I136" s="16" t="str">
        <f>_xlfn.TEXTJOIN(" ",TRUE, Raw_Employee_Data!$B136,Raw_Employee_Data!$C136)</f>
        <v>David Davis</v>
      </c>
      <c r="J136" s="11" t="str">
        <f>_xlfn.XLOOKUP(D136,Lookup_Departments!A:A,Lookup_Departments!B:B)</f>
        <v>Information Technology</v>
      </c>
      <c r="K136" s="11">
        <f t="shared" ca="1" si="2"/>
        <v>2</v>
      </c>
      <c r="L136" t="str" cm="1">
        <f t="array" ref="L136">_xlfn.IFS(G136&lt;=49,"Needs Improvement",G136&lt;=69,"Developing",G136&lt;=84,"Achieving",G136&lt;=94,"Exceeding",G136&lt;=100,"Outstanding")</f>
        <v>Developing</v>
      </c>
      <c r="M136" s="25">
        <f>F136*_xlfn.XLOOKUP(L136,Lookup_Performance!$C$2:$C$6,Lookup_Performance!$D$2:$D$6,0)</f>
        <v>1230.94</v>
      </c>
    </row>
    <row r="137" spans="1:13" x14ac:dyDescent="0.35">
      <c r="A137" s="5" t="s">
        <v>180</v>
      </c>
      <c r="B137" s="5" t="s">
        <v>51</v>
      </c>
      <c r="C137" s="5" t="s">
        <v>28</v>
      </c>
      <c r="D137" s="14" t="s">
        <v>35</v>
      </c>
      <c r="E137" s="7">
        <v>44639</v>
      </c>
      <c r="F137" s="15">
        <v>82713.429999999993</v>
      </c>
      <c r="G137" s="5">
        <v>52</v>
      </c>
      <c r="H137" s="14" t="s">
        <v>23</v>
      </c>
      <c r="I137" s="14" t="str">
        <f>_xlfn.TEXTJOIN(" ",TRUE, Raw_Employee_Data!$B137,Raw_Employee_Data!$C137)</f>
        <v>James Wilson</v>
      </c>
      <c r="J137" s="11" t="str">
        <f>_xlfn.XLOOKUP(D137,Lookup_Departments!A:A,Lookup_Departments!B:B)</f>
        <v>Sales</v>
      </c>
      <c r="K137" s="11">
        <f t="shared" ca="1" si="2"/>
        <v>4</v>
      </c>
      <c r="L137" t="str" cm="1">
        <f t="array" ref="L137">_xlfn.IFS(G137&lt;=49,"Needs Improvement",G137&lt;=69,"Developing",G137&lt;=84,"Achieving",G137&lt;=94,"Exceeding",G137&lt;=100,"Outstanding")</f>
        <v>Developing</v>
      </c>
      <c r="M137" s="25">
        <f>F137*_xlfn.XLOOKUP(L137,Lookup_Performance!$C$2:$C$6,Lookup_Performance!$D$2:$D$6,0)</f>
        <v>1654.2685999999999</v>
      </c>
    </row>
    <row r="138" spans="1:13" x14ac:dyDescent="0.35">
      <c r="A138" s="4" t="s">
        <v>181</v>
      </c>
      <c r="B138" s="4" t="s">
        <v>11</v>
      </c>
      <c r="C138" s="4" t="s">
        <v>25</v>
      </c>
      <c r="D138" s="16" t="s">
        <v>26</v>
      </c>
      <c r="E138" s="7">
        <v>43091</v>
      </c>
      <c r="F138" s="17">
        <v>50399</v>
      </c>
      <c r="G138" s="4">
        <v>92</v>
      </c>
      <c r="H138" s="16" t="s">
        <v>36</v>
      </c>
      <c r="I138" s="16" t="str">
        <f>_xlfn.TEXTJOIN(" ",TRUE, Raw_Employee_Data!$B138,Raw_Employee_Data!$C138)</f>
        <v>Richard Johnson</v>
      </c>
      <c r="J138" s="11" t="str">
        <f>_xlfn.XLOOKUP(D138,Lookup_Departments!A:A,Lookup_Departments!B:B)</f>
        <v>Operations</v>
      </c>
      <c r="K138" s="11">
        <f t="shared" ca="1" si="2"/>
        <v>8</v>
      </c>
      <c r="L138" t="str" cm="1">
        <f t="array" ref="L138">_xlfn.IFS(G138&lt;=49,"Needs Improvement",G138&lt;=69,"Developing",G138&lt;=84,"Achieving",G138&lt;=94,"Exceeding",G138&lt;=100,"Outstanding")</f>
        <v>Exceeding</v>
      </c>
      <c r="M138" s="25">
        <f>F138*_xlfn.XLOOKUP(L138,Lookup_Performance!$C$2:$C$6,Lookup_Performance!$D$2:$D$6,0)</f>
        <v>4031.92</v>
      </c>
    </row>
    <row r="139" spans="1:13" x14ac:dyDescent="0.35">
      <c r="A139" s="5" t="s">
        <v>182</v>
      </c>
      <c r="B139" s="5" t="s">
        <v>11</v>
      </c>
      <c r="C139" s="5" t="s">
        <v>42</v>
      </c>
      <c r="D139" s="14" t="s">
        <v>19</v>
      </c>
      <c r="E139" s="7">
        <v>43233</v>
      </c>
      <c r="F139" s="15">
        <v>82713.429999999993</v>
      </c>
      <c r="G139" s="5">
        <v>62</v>
      </c>
      <c r="H139" s="14" t="s">
        <v>36</v>
      </c>
      <c r="I139" s="14" t="str">
        <f>_xlfn.TEXTJOIN(" ",TRUE, Raw_Employee_Data!$B139,Raw_Employee_Data!$C139)</f>
        <v>Richard Williams</v>
      </c>
      <c r="J139" s="11" t="str">
        <f>_xlfn.XLOOKUP(D139,Lookup_Departments!A:A,Lookup_Departments!B:B)</f>
        <v>Finance</v>
      </c>
      <c r="K139" s="11">
        <f t="shared" ca="1" si="2"/>
        <v>8</v>
      </c>
      <c r="L139" t="str" cm="1">
        <f t="array" ref="L139">_xlfn.IFS(G139&lt;=49,"Needs Improvement",G139&lt;=69,"Developing",G139&lt;=84,"Achieving",G139&lt;=94,"Exceeding",G139&lt;=100,"Outstanding")</f>
        <v>Developing</v>
      </c>
      <c r="M139" s="25">
        <f>F139*_xlfn.XLOOKUP(L139,Lookup_Performance!$C$2:$C$6,Lookup_Performance!$D$2:$D$6,0)</f>
        <v>1654.2685999999999</v>
      </c>
    </row>
    <row r="140" spans="1:13" x14ac:dyDescent="0.35">
      <c r="A140" s="4" t="s">
        <v>183</v>
      </c>
      <c r="B140" s="4" t="s">
        <v>17</v>
      </c>
      <c r="C140" s="4" t="s">
        <v>12</v>
      </c>
      <c r="D140" s="16" t="s">
        <v>26</v>
      </c>
      <c r="E140" s="7">
        <v>44437</v>
      </c>
      <c r="F140" s="17">
        <v>52720</v>
      </c>
      <c r="G140" s="4">
        <v>68</v>
      </c>
      <c r="H140" s="16" t="s">
        <v>36</v>
      </c>
      <c r="I140" s="16" t="str">
        <f>_xlfn.TEXTJOIN(" ",TRUE, Raw_Employee_Data!$B140,Raw_Employee_Data!$C140)</f>
        <v>John Hernandez</v>
      </c>
      <c r="J140" s="11" t="str">
        <f>_xlfn.XLOOKUP(D140,Lookup_Departments!A:A,Lookup_Departments!B:B)</f>
        <v>Operations</v>
      </c>
      <c r="K140" s="11">
        <f t="shared" ca="1" si="2"/>
        <v>4</v>
      </c>
      <c r="L140" t="str" cm="1">
        <f t="array" ref="L140">_xlfn.IFS(G140&lt;=49,"Needs Improvement",G140&lt;=69,"Developing",G140&lt;=84,"Achieving",G140&lt;=94,"Exceeding",G140&lt;=100,"Outstanding")</f>
        <v>Developing</v>
      </c>
      <c r="M140" s="25">
        <f>F140*_xlfn.XLOOKUP(L140,Lookup_Performance!$C$2:$C$6,Lookup_Performance!$D$2:$D$6,0)</f>
        <v>1054.4000000000001</v>
      </c>
    </row>
    <row r="141" spans="1:13" x14ac:dyDescent="0.35">
      <c r="A141" s="5" t="s">
        <v>184</v>
      </c>
      <c r="B141" s="5" t="s">
        <v>70</v>
      </c>
      <c r="C141" s="5" t="s">
        <v>15</v>
      </c>
      <c r="D141" s="14" t="s">
        <v>26</v>
      </c>
      <c r="E141" s="7">
        <v>43360</v>
      </c>
      <c r="F141" s="15">
        <v>65065</v>
      </c>
      <c r="G141" s="5">
        <v>98</v>
      </c>
      <c r="H141" s="14" t="s">
        <v>84</v>
      </c>
      <c r="I141" s="14" t="str">
        <f>_xlfn.TEXTJOIN(" ",TRUE, Raw_Employee_Data!$B141,Raw_Employee_Data!$C141)</f>
        <v>Sarah Gonzalez</v>
      </c>
      <c r="J141" s="11" t="str">
        <f>_xlfn.XLOOKUP(D141,Lookup_Departments!A:A,Lookup_Departments!B:B)</f>
        <v>Operations</v>
      </c>
      <c r="K141" s="11">
        <f t="shared" ca="1" si="2"/>
        <v>7</v>
      </c>
      <c r="L141" t="str" cm="1">
        <f t="array" ref="L141">_xlfn.IFS(G141&lt;=49,"Needs Improvement",G141&lt;=69,"Developing",G141&lt;=84,"Achieving",G141&lt;=94,"Exceeding",G141&lt;=100,"Outstanding")</f>
        <v>Outstanding</v>
      </c>
      <c r="M141" s="25">
        <f>F141*_xlfn.XLOOKUP(L141,Lookup_Performance!$C$2:$C$6,Lookup_Performance!$D$2:$D$6,0)</f>
        <v>7807.7999999999993</v>
      </c>
    </row>
    <row r="142" spans="1:13" x14ac:dyDescent="0.35">
      <c r="A142" s="4" t="s">
        <v>185</v>
      </c>
      <c r="B142" s="4" t="s">
        <v>77</v>
      </c>
      <c r="C142" s="4" t="s">
        <v>12</v>
      </c>
      <c r="D142" s="16" t="s">
        <v>35</v>
      </c>
      <c r="E142" s="7">
        <v>44375</v>
      </c>
      <c r="F142" s="17">
        <v>82713.429999999993</v>
      </c>
      <c r="G142" s="4">
        <v>94</v>
      </c>
      <c r="H142" s="16" t="s">
        <v>84</v>
      </c>
      <c r="I142" s="16" t="str">
        <f>_xlfn.TEXTJOIN(" ",TRUE, Raw_Employee_Data!$B142,Raw_Employee_Data!$C142)</f>
        <v>Melissa Hernandez</v>
      </c>
      <c r="J142" s="11" t="str">
        <f>_xlfn.XLOOKUP(D142,Lookup_Departments!A:A,Lookup_Departments!B:B)</f>
        <v>Sales</v>
      </c>
      <c r="K142" s="11">
        <f t="shared" ca="1" si="2"/>
        <v>5</v>
      </c>
      <c r="L142" t="str" cm="1">
        <f t="array" ref="L142">_xlfn.IFS(G142&lt;=49,"Needs Improvement",G142&lt;=69,"Developing",G142&lt;=84,"Achieving",G142&lt;=94,"Exceeding",G142&lt;=100,"Outstanding")</f>
        <v>Exceeding</v>
      </c>
      <c r="M142" s="25">
        <f>F142*_xlfn.XLOOKUP(L142,Lookup_Performance!$C$2:$C$6,Lookup_Performance!$D$2:$D$6,0)</f>
        <v>6617.0743999999995</v>
      </c>
    </row>
    <row r="143" spans="1:13" x14ac:dyDescent="0.35">
      <c r="A143" s="5" t="s">
        <v>186</v>
      </c>
      <c r="B143" s="5" t="s">
        <v>77</v>
      </c>
      <c r="C143" s="5" t="s">
        <v>12</v>
      </c>
      <c r="D143" s="14" t="s">
        <v>26</v>
      </c>
      <c r="E143" s="7">
        <v>43011</v>
      </c>
      <c r="F143" s="15">
        <v>108119</v>
      </c>
      <c r="G143" s="5">
        <v>57</v>
      </c>
      <c r="H143" s="14" t="s">
        <v>36</v>
      </c>
      <c r="I143" s="14" t="str">
        <f>_xlfn.TEXTJOIN(" ",TRUE, Raw_Employee_Data!$B143,Raw_Employee_Data!$C143)</f>
        <v>Melissa Hernandez</v>
      </c>
      <c r="J143" s="11" t="str">
        <f>_xlfn.XLOOKUP(D143,Lookup_Departments!A:A,Lookup_Departments!B:B)</f>
        <v>Operations</v>
      </c>
      <c r="K143" s="11">
        <f t="shared" ca="1" si="2"/>
        <v>8</v>
      </c>
      <c r="L143" t="str" cm="1">
        <f t="array" ref="L143">_xlfn.IFS(G143&lt;=49,"Needs Improvement",G143&lt;=69,"Developing",G143&lt;=84,"Achieving",G143&lt;=94,"Exceeding",G143&lt;=100,"Outstanding")</f>
        <v>Developing</v>
      </c>
      <c r="M143" s="25">
        <f>F143*_xlfn.XLOOKUP(L143,Lookup_Performance!$C$2:$C$6,Lookup_Performance!$D$2:$D$6,0)</f>
        <v>2162.38</v>
      </c>
    </row>
    <row r="144" spans="1:13" x14ac:dyDescent="0.35">
      <c r="A144" s="4" t="s">
        <v>187</v>
      </c>
      <c r="B144" s="4" t="s">
        <v>17</v>
      </c>
      <c r="C144" s="4" t="s">
        <v>49</v>
      </c>
      <c r="D144" s="16" t="s">
        <v>9</v>
      </c>
      <c r="E144" s="7">
        <v>42299</v>
      </c>
      <c r="F144" s="17">
        <v>82713.429999999993</v>
      </c>
      <c r="G144" s="4">
        <v>96</v>
      </c>
      <c r="H144" s="16" t="s">
        <v>23</v>
      </c>
      <c r="I144" s="16" t="str">
        <f>_xlfn.TEXTJOIN(" ",TRUE, Raw_Employee_Data!$B144,Raw_Employee_Data!$C144)</f>
        <v>John Davis</v>
      </c>
      <c r="J144" s="11" t="str">
        <f>_xlfn.XLOOKUP(D144,Lookup_Departments!A:A,Lookup_Departments!B:B)</f>
        <v>Information Technology</v>
      </c>
      <c r="K144" s="11">
        <f t="shared" ca="1" si="2"/>
        <v>10</v>
      </c>
      <c r="L144" t="str" cm="1">
        <f t="array" ref="L144">_xlfn.IFS(G144&lt;=49,"Needs Improvement",G144&lt;=69,"Developing",G144&lt;=84,"Achieving",G144&lt;=94,"Exceeding",G144&lt;=100,"Outstanding")</f>
        <v>Outstanding</v>
      </c>
      <c r="M144" s="25">
        <f>F144*_xlfn.XLOOKUP(L144,Lookup_Performance!$C$2:$C$6,Lookup_Performance!$D$2:$D$6,0)</f>
        <v>9925.6115999999984</v>
      </c>
    </row>
    <row r="145" spans="1:13" x14ac:dyDescent="0.35">
      <c r="A145" s="5" t="s">
        <v>188</v>
      </c>
      <c r="B145" s="5" t="s">
        <v>11</v>
      </c>
      <c r="C145" s="5" t="s">
        <v>49</v>
      </c>
      <c r="D145" s="14" t="s">
        <v>72</v>
      </c>
      <c r="E145" s="7">
        <v>43257</v>
      </c>
      <c r="F145" s="15">
        <v>106896</v>
      </c>
      <c r="G145" s="5">
        <v>52</v>
      </c>
      <c r="H145" s="14" t="s">
        <v>36</v>
      </c>
      <c r="I145" s="14" t="str">
        <f>_xlfn.TEXTJOIN(" ",TRUE, Raw_Employee_Data!$B145,Raw_Employee_Data!$C145)</f>
        <v>Richard Davis</v>
      </c>
      <c r="J145" s="11" t="str">
        <f>_xlfn.XLOOKUP(D145,Lookup_Departments!A:A,Lookup_Departments!B:B)</f>
        <v>Human Resources</v>
      </c>
      <c r="K145" s="11">
        <f t="shared" ca="1" si="2"/>
        <v>8</v>
      </c>
      <c r="L145" t="str" cm="1">
        <f t="array" ref="L145">_xlfn.IFS(G145&lt;=49,"Needs Improvement",G145&lt;=69,"Developing",G145&lt;=84,"Achieving",G145&lt;=94,"Exceeding",G145&lt;=100,"Outstanding")</f>
        <v>Developing</v>
      </c>
      <c r="M145" s="25">
        <f>F145*_xlfn.XLOOKUP(L145,Lookup_Performance!$C$2:$C$6,Lookup_Performance!$D$2:$D$6,0)</f>
        <v>2137.92</v>
      </c>
    </row>
    <row r="146" spans="1:13" x14ac:dyDescent="0.35">
      <c r="A146" s="4" t="s">
        <v>189</v>
      </c>
      <c r="B146" s="4" t="s">
        <v>7</v>
      </c>
      <c r="C146" s="4" t="s">
        <v>46</v>
      </c>
      <c r="D146" s="16" t="s">
        <v>9</v>
      </c>
      <c r="E146" s="7">
        <v>42932</v>
      </c>
      <c r="F146" s="17">
        <v>112887</v>
      </c>
      <c r="G146" s="4">
        <v>59</v>
      </c>
      <c r="H146" s="16" t="s">
        <v>36</v>
      </c>
      <c r="I146" s="16" t="str">
        <f>_xlfn.TEXTJOIN(" ",TRUE, Raw_Employee_Data!$B146,Raw_Employee_Data!$C146)</f>
        <v>Emily Jones</v>
      </c>
      <c r="J146" s="11" t="str">
        <f>_xlfn.XLOOKUP(D146,Lookup_Departments!A:A,Lookup_Departments!B:B)</f>
        <v>Information Technology</v>
      </c>
      <c r="K146" s="11">
        <f t="shared" ca="1" si="2"/>
        <v>8</v>
      </c>
      <c r="L146" t="str" cm="1">
        <f t="array" ref="L146">_xlfn.IFS(G146&lt;=49,"Needs Improvement",G146&lt;=69,"Developing",G146&lt;=84,"Achieving",G146&lt;=94,"Exceeding",G146&lt;=100,"Outstanding")</f>
        <v>Developing</v>
      </c>
      <c r="M146" s="25">
        <f>F146*_xlfn.XLOOKUP(L146,Lookup_Performance!$C$2:$C$6,Lookup_Performance!$D$2:$D$6,0)</f>
        <v>2257.7400000000002</v>
      </c>
    </row>
    <row r="147" spans="1:13" x14ac:dyDescent="0.35">
      <c r="A147" s="5" t="s">
        <v>190</v>
      </c>
      <c r="B147" s="5" t="s">
        <v>115</v>
      </c>
      <c r="C147" s="5" t="s">
        <v>32</v>
      </c>
      <c r="D147" s="14" t="s">
        <v>19</v>
      </c>
      <c r="E147" s="7">
        <v>42175</v>
      </c>
      <c r="F147" s="15">
        <v>85457</v>
      </c>
      <c r="G147" s="5">
        <v>79</v>
      </c>
      <c r="H147" s="14" t="s">
        <v>36</v>
      </c>
      <c r="I147" s="14" t="str">
        <f>_xlfn.TEXTJOIN(" ",TRUE, Raw_Employee_Data!$B147,Raw_Employee_Data!$C147)</f>
        <v>William Rodriguez</v>
      </c>
      <c r="J147" s="11" t="str">
        <f>_xlfn.XLOOKUP(D147,Lookup_Departments!A:A,Lookup_Departments!B:B)</f>
        <v>Finance</v>
      </c>
      <c r="K147" s="11">
        <f t="shared" ca="1" si="2"/>
        <v>11</v>
      </c>
      <c r="L147" t="str" cm="1">
        <f t="array" ref="L147">_xlfn.IFS(G147&lt;=49,"Needs Improvement",G147&lt;=69,"Developing",G147&lt;=84,"Achieving",G147&lt;=94,"Exceeding",G147&lt;=100,"Outstanding")</f>
        <v>Achieving</v>
      </c>
      <c r="M147" s="25">
        <f>F147*_xlfn.XLOOKUP(L147,Lookup_Performance!$C$2:$C$6,Lookup_Performance!$D$2:$D$6,0)</f>
        <v>4272.8500000000004</v>
      </c>
    </row>
    <row r="148" spans="1:13" x14ac:dyDescent="0.35">
      <c r="A148" s="4" t="s">
        <v>191</v>
      </c>
      <c r="B148" s="4" t="s">
        <v>77</v>
      </c>
      <c r="C148" s="4" t="s">
        <v>38</v>
      </c>
      <c r="D148" s="16" t="s">
        <v>35</v>
      </c>
      <c r="E148" s="7">
        <v>43609</v>
      </c>
      <c r="F148" s="17">
        <v>62798</v>
      </c>
      <c r="G148" s="4">
        <v>30</v>
      </c>
      <c r="H148" s="16" t="s">
        <v>23</v>
      </c>
      <c r="I148" s="16" t="str">
        <f>_xlfn.TEXTJOIN(" ",TRUE, Raw_Employee_Data!$B148,Raw_Employee_Data!$C148)</f>
        <v>Melissa Miller</v>
      </c>
      <c r="J148" s="11" t="str">
        <f>_xlfn.XLOOKUP(D148,Lookup_Departments!A:A,Lookup_Departments!B:B)</f>
        <v>Sales</v>
      </c>
      <c r="K148" s="11">
        <f t="shared" ca="1" si="2"/>
        <v>7</v>
      </c>
      <c r="L148" t="str" cm="1">
        <f t="array" ref="L148">_xlfn.IFS(G148&lt;=49,"Needs Improvement",G148&lt;=69,"Developing",G148&lt;=84,"Achieving",G148&lt;=94,"Exceeding",G148&lt;=100,"Outstanding")</f>
        <v>Needs Improvement</v>
      </c>
      <c r="M148" s="25">
        <f>F148*_xlfn.XLOOKUP(L148,Lookup_Performance!$C$2:$C$6,Lookup_Performance!$D$2:$D$6,0)</f>
        <v>0</v>
      </c>
    </row>
    <row r="149" spans="1:13" x14ac:dyDescent="0.35">
      <c r="A149" s="5" t="s">
        <v>192</v>
      </c>
      <c r="B149" s="5" t="s">
        <v>7</v>
      </c>
      <c r="C149" s="5" t="s">
        <v>18</v>
      </c>
      <c r="D149" s="14" t="s">
        <v>26</v>
      </c>
      <c r="E149" s="7">
        <v>43887</v>
      </c>
      <c r="F149" s="15">
        <v>47794</v>
      </c>
      <c r="G149" s="5">
        <v>73</v>
      </c>
      <c r="H149" s="14" t="s">
        <v>36</v>
      </c>
      <c r="I149" s="14" t="str">
        <f>_xlfn.TEXTJOIN(" ",TRUE, Raw_Employee_Data!$B149,Raw_Employee_Data!$C149)</f>
        <v>Emily Martinez</v>
      </c>
      <c r="J149" s="11" t="str">
        <f>_xlfn.XLOOKUP(D149,Lookup_Departments!A:A,Lookup_Departments!B:B)</f>
        <v>Operations</v>
      </c>
      <c r="K149" s="11">
        <f t="shared" ca="1" si="2"/>
        <v>6</v>
      </c>
      <c r="L149" t="str" cm="1">
        <f t="array" ref="L149">_xlfn.IFS(G149&lt;=49,"Needs Improvement",G149&lt;=69,"Developing",G149&lt;=84,"Achieving",G149&lt;=94,"Exceeding",G149&lt;=100,"Outstanding")</f>
        <v>Achieving</v>
      </c>
      <c r="M149" s="25">
        <f>F149*_xlfn.XLOOKUP(L149,Lookup_Performance!$C$2:$C$6,Lookup_Performance!$D$2:$D$6,0)</f>
        <v>2389.7000000000003</v>
      </c>
    </row>
    <row r="150" spans="1:13" x14ac:dyDescent="0.35">
      <c r="A150" s="4" t="s">
        <v>193</v>
      </c>
      <c r="B150" s="4" t="s">
        <v>51</v>
      </c>
      <c r="C150" s="4" t="s">
        <v>32</v>
      </c>
      <c r="D150" s="16" t="s">
        <v>13</v>
      </c>
      <c r="E150" s="7">
        <v>45080</v>
      </c>
      <c r="F150" s="17">
        <v>93094</v>
      </c>
      <c r="G150" s="4">
        <v>74</v>
      </c>
      <c r="H150" s="16" t="s">
        <v>36</v>
      </c>
      <c r="I150" s="16" t="str">
        <f>_xlfn.TEXTJOIN(" ",TRUE, Raw_Employee_Data!$B150,Raw_Employee_Data!$C150)</f>
        <v>James Rodriguez</v>
      </c>
      <c r="J150" s="11" t="str">
        <f>_xlfn.XLOOKUP(D150,Lookup_Departments!A:A,Lookup_Departments!B:B)</f>
        <v>Marketing</v>
      </c>
      <c r="K150" s="11">
        <f t="shared" ca="1" si="2"/>
        <v>3</v>
      </c>
      <c r="L150" t="str" cm="1">
        <f t="array" ref="L150">_xlfn.IFS(G150&lt;=49,"Needs Improvement",G150&lt;=69,"Developing",G150&lt;=84,"Achieving",G150&lt;=94,"Exceeding",G150&lt;=100,"Outstanding")</f>
        <v>Achieving</v>
      </c>
      <c r="M150" s="25">
        <f>F150*_xlfn.XLOOKUP(L150,Lookup_Performance!$C$2:$C$6,Lookup_Performance!$D$2:$D$6,0)</f>
        <v>4654.7</v>
      </c>
    </row>
    <row r="151" spans="1:13" x14ac:dyDescent="0.35">
      <c r="A151" s="5" t="s">
        <v>194</v>
      </c>
      <c r="B151" s="5" t="s">
        <v>56</v>
      </c>
      <c r="C151" s="5" t="s">
        <v>8</v>
      </c>
      <c r="D151" s="14" t="s">
        <v>9</v>
      </c>
      <c r="E151" s="7">
        <v>43800</v>
      </c>
      <c r="F151" s="15">
        <v>118634</v>
      </c>
      <c r="G151" s="5">
        <v>91</v>
      </c>
      <c r="H151" s="14" t="s">
        <v>36</v>
      </c>
      <c r="I151" s="14" t="str">
        <f>_xlfn.TEXTJOIN(" ",TRUE, Raw_Employee_Data!$B151,Raw_Employee_Data!$C151)</f>
        <v>Amanda Brown</v>
      </c>
      <c r="J151" s="11" t="str">
        <f>_xlfn.XLOOKUP(D151,Lookup_Departments!A:A,Lookup_Departments!B:B)</f>
        <v>Information Technology</v>
      </c>
      <c r="K151" s="11">
        <f t="shared" ca="1" si="2"/>
        <v>6</v>
      </c>
      <c r="L151" t="str" cm="1">
        <f t="array" ref="L151">_xlfn.IFS(G151&lt;=49,"Needs Improvement",G151&lt;=69,"Developing",G151&lt;=84,"Achieving",G151&lt;=94,"Exceeding",G151&lt;=100,"Outstanding")</f>
        <v>Exceeding</v>
      </c>
      <c r="M151" s="25">
        <f>F151*_xlfn.XLOOKUP(L151,Lookup_Performance!$C$2:$C$6,Lookup_Performance!$D$2:$D$6,0)</f>
        <v>9490.7199999999993</v>
      </c>
    </row>
    <row r="152" spans="1:13" x14ac:dyDescent="0.35">
      <c r="A152" s="4"/>
      <c r="B152" s="4"/>
      <c r="C152" s="4"/>
      <c r="D152" s="16"/>
      <c r="F152" s="17"/>
      <c r="G152" s="4"/>
      <c r="H152" s="16"/>
      <c r="I152" s="16" t="str">
        <f>_xlfn.TEXTJOIN(" ",TRUE, Raw_Employee_Data!$B152,Raw_Employee_Data!$C152)</f>
        <v/>
      </c>
      <c r="J152" s="11"/>
      <c r="K152" s="11"/>
      <c r="M152" s="25"/>
    </row>
    <row r="153" spans="1:13" x14ac:dyDescent="0.35">
      <c r="A153" s="5"/>
      <c r="B153" s="5"/>
      <c r="C153" s="5"/>
      <c r="D153" s="14"/>
      <c r="F153" s="15"/>
      <c r="G153" s="5"/>
      <c r="H153" s="14"/>
      <c r="I153" s="14" t="str">
        <f>_xlfn.TEXTJOIN(" ",TRUE, Raw_Employee_Data!$B153,Raw_Employee_Data!$C153)</f>
        <v/>
      </c>
      <c r="J153" s="11"/>
      <c r="K153" s="11"/>
      <c r="M153" s="25"/>
    </row>
    <row r="154" spans="1:13" x14ac:dyDescent="0.35">
      <c r="A154" s="4"/>
      <c r="B154" s="4"/>
      <c r="C154" s="4"/>
      <c r="D154" s="16"/>
      <c r="F154" s="17"/>
      <c r="G154" s="4"/>
      <c r="H154" s="16"/>
      <c r="I154" s="16" t="str">
        <f>_xlfn.TEXTJOIN(" ",TRUE, Raw_Employee_Data!$B154,Raw_Employee_Data!$C154)</f>
        <v/>
      </c>
      <c r="J154" s="11"/>
      <c r="K154" s="11"/>
      <c r="M154" s="25"/>
    </row>
    <row r="155" spans="1:13" x14ac:dyDescent="0.35">
      <c r="A155" s="5"/>
      <c r="B155" s="5"/>
      <c r="C155" s="5"/>
      <c r="D155" s="14"/>
      <c r="F155" s="15"/>
      <c r="G155" s="5"/>
      <c r="H155" s="14"/>
      <c r="I155" s="14" t="str">
        <f>_xlfn.TEXTJOIN(" ",TRUE, Raw_Employee_Data!$B155,Raw_Employee_Data!$C155)</f>
        <v/>
      </c>
      <c r="J155" s="11"/>
      <c r="K155" s="11"/>
      <c r="M155" s="25"/>
    </row>
    <row r="156" spans="1:13" x14ac:dyDescent="0.35">
      <c r="A156" s="4"/>
      <c r="B156" s="4"/>
      <c r="C156" s="4"/>
      <c r="D156" s="16"/>
      <c r="F156" s="17"/>
      <c r="G156" s="4"/>
      <c r="H156" s="16"/>
      <c r="I156" s="16" t="str">
        <f>_xlfn.TEXTJOIN(" ",TRUE, Raw_Employee_Data!$B156,Raw_Employee_Data!$C156)</f>
        <v/>
      </c>
      <c r="J156" s="11"/>
      <c r="K156" s="11"/>
      <c r="M156" s="25"/>
    </row>
    <row r="157" spans="1:13" x14ac:dyDescent="0.35">
      <c r="A157" s="5"/>
      <c r="B157" s="5"/>
      <c r="C157" s="5"/>
      <c r="D157" s="14"/>
      <c r="F157" s="15"/>
      <c r="G157" s="5"/>
      <c r="H157" s="14"/>
      <c r="I157" s="14" t="str">
        <f>_xlfn.TEXTJOIN(" ",TRUE, Raw_Employee_Data!$B157,Raw_Employee_Data!$C157)</f>
        <v/>
      </c>
      <c r="J157" s="11"/>
      <c r="K157" s="11"/>
      <c r="M157" s="25"/>
    </row>
    <row r="158" spans="1:13" x14ac:dyDescent="0.35">
      <c r="A158" s="4"/>
      <c r="B158" s="4"/>
      <c r="C158" s="4"/>
      <c r="D158" s="16"/>
      <c r="F158" s="17"/>
      <c r="G158" s="4"/>
      <c r="H158" s="16"/>
      <c r="I158" s="16" t="str">
        <f>_xlfn.TEXTJOIN(" ",TRUE, Raw_Employee_Data!$B158,Raw_Employee_Data!$C158)</f>
        <v/>
      </c>
      <c r="J158" s="11"/>
      <c r="K158" s="11"/>
      <c r="M158" s="25"/>
    </row>
    <row r="159" spans="1:13" x14ac:dyDescent="0.35">
      <c r="A159" s="5"/>
      <c r="B159" s="5"/>
      <c r="C159" s="5"/>
      <c r="D159" s="14"/>
      <c r="F159" s="15"/>
      <c r="G159" s="5"/>
      <c r="H159" s="14"/>
      <c r="I159" s="14" t="str">
        <f>_xlfn.TEXTJOIN(" ",TRUE, Raw_Employee_Data!$B159,Raw_Employee_Data!$C159)</f>
        <v/>
      </c>
      <c r="J159" s="11"/>
      <c r="K159" s="11"/>
      <c r="M159" s="25"/>
    </row>
    <row r="160" spans="1:13" x14ac:dyDescent="0.35">
      <c r="A160" s="4"/>
      <c r="B160" s="4"/>
      <c r="C160" s="4"/>
      <c r="D160" s="16"/>
      <c r="F160" s="17"/>
      <c r="G160" s="4"/>
      <c r="H160" s="16"/>
      <c r="I160" s="16" t="str">
        <f>_xlfn.TEXTJOIN(" ",TRUE, Raw_Employee_Data!$B160,Raw_Employee_Data!$C160)</f>
        <v/>
      </c>
      <c r="J160" s="11"/>
      <c r="K160" s="11"/>
      <c r="M160" s="25"/>
    </row>
    <row r="161" spans="1:13" x14ac:dyDescent="0.35">
      <c r="A161" s="5"/>
      <c r="B161" s="5"/>
      <c r="C161" s="5"/>
      <c r="D161" s="14"/>
      <c r="F161" s="15"/>
      <c r="G161" s="5"/>
      <c r="H161" s="14"/>
      <c r="I161" s="14" t="str">
        <f>_xlfn.TEXTJOIN(" ",TRUE, Raw_Employee_Data!$B161,Raw_Employee_Data!$C161)</f>
        <v/>
      </c>
      <c r="J161" s="11"/>
      <c r="K161" s="11"/>
      <c r="M161" s="25"/>
    </row>
    <row r="162" spans="1:13" x14ac:dyDescent="0.35">
      <c r="A162" s="4"/>
      <c r="B162" s="4"/>
      <c r="C162" s="4"/>
      <c r="D162" s="16"/>
      <c r="F162" s="17"/>
      <c r="G162" s="4"/>
      <c r="H162" s="16"/>
      <c r="I162" s="16" t="str">
        <f>_xlfn.TEXTJOIN(" ",TRUE, Raw_Employee_Data!$B162,Raw_Employee_Data!$C162)</f>
        <v/>
      </c>
      <c r="J162" s="11"/>
      <c r="K162" s="11"/>
      <c r="M162" s="25"/>
    </row>
    <row r="163" spans="1:13" x14ac:dyDescent="0.35">
      <c r="A163" s="5"/>
      <c r="B163" s="5"/>
      <c r="C163" s="5"/>
      <c r="D163" s="14"/>
      <c r="F163" s="15"/>
      <c r="G163" s="5"/>
      <c r="H163" s="14"/>
      <c r="I163" s="14" t="str">
        <f>_xlfn.TEXTJOIN(" ",TRUE, Raw_Employee_Data!$B163,Raw_Employee_Data!$C163)</f>
        <v/>
      </c>
      <c r="J163" s="11"/>
      <c r="K163" s="11"/>
      <c r="M163" s="25"/>
    </row>
    <row r="164" spans="1:13" x14ac:dyDescent="0.35">
      <c r="A164" s="4"/>
      <c r="B164" s="4"/>
      <c r="C164" s="4"/>
      <c r="D164" s="16"/>
      <c r="F164" s="17"/>
      <c r="G164" s="4"/>
      <c r="H164" s="16"/>
      <c r="I164" s="16" t="str">
        <f>_xlfn.TEXTJOIN(" ",TRUE, Raw_Employee_Data!$B164,Raw_Employee_Data!$C164)</f>
        <v/>
      </c>
      <c r="J164" s="11"/>
      <c r="K164" s="11"/>
      <c r="M164" s="25"/>
    </row>
    <row r="165" spans="1:13" x14ac:dyDescent="0.35">
      <c r="A165" s="6"/>
      <c r="B165" s="6"/>
      <c r="C165" s="6"/>
      <c r="D165" s="18"/>
      <c r="F165" s="19"/>
      <c r="G165" s="6"/>
      <c r="H165" s="18"/>
      <c r="I165" s="18" t="str">
        <f>_xlfn.TEXTJOIN(" ",TRUE, Raw_Employee_Data!$B165,Raw_Employee_Data!$C165)</f>
        <v/>
      </c>
      <c r="J165" s="11"/>
      <c r="K165" s="11"/>
      <c r="M165" s="25"/>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sheetData>
    <row r="1" spans="1:2" x14ac:dyDescent="0.35">
      <c r="A1" s="1" t="s">
        <v>195</v>
      </c>
      <c r="B1" s="1" t="s">
        <v>196</v>
      </c>
    </row>
    <row r="2" spans="1:2" x14ac:dyDescent="0.35">
      <c r="A2" t="s">
        <v>72</v>
      </c>
      <c r="B2" t="s">
        <v>197</v>
      </c>
    </row>
    <row r="3" spans="1:2" x14ac:dyDescent="0.35">
      <c r="A3" t="s">
        <v>9</v>
      </c>
      <c r="B3" t="s">
        <v>198</v>
      </c>
    </row>
    <row r="4" spans="1:2" x14ac:dyDescent="0.35">
      <c r="A4" t="s">
        <v>19</v>
      </c>
      <c r="B4" t="s">
        <v>199</v>
      </c>
    </row>
    <row r="5" spans="1:2" x14ac:dyDescent="0.35">
      <c r="A5" t="s">
        <v>13</v>
      </c>
      <c r="B5" t="s">
        <v>200</v>
      </c>
    </row>
    <row r="6" spans="1:2" x14ac:dyDescent="0.35">
      <c r="A6" t="s">
        <v>35</v>
      </c>
      <c r="B6" t="s">
        <v>201</v>
      </c>
    </row>
    <row r="7" spans="1:2" x14ac:dyDescent="0.35">
      <c r="A7" t="s">
        <v>26</v>
      </c>
      <c r="B7" t="s">
        <v>202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C1" sqref="C1"/>
    </sheetView>
  </sheetViews>
  <sheetFormatPr defaultRowHeight="14.5" x14ac:dyDescent="0.35"/>
  <cols>
    <col min="2" max="2" width="13.7265625" customWidth="1"/>
    <col min="3" max="3" width="12.26953125" customWidth="1"/>
  </cols>
  <sheetData>
    <row r="1" spans="1:4" x14ac:dyDescent="0.35">
      <c r="A1" s="1" t="s">
        <v>203</v>
      </c>
      <c r="B1" s="1" t="s">
        <v>204</v>
      </c>
      <c r="C1" s="24" t="s">
        <v>205</v>
      </c>
      <c r="D1" s="24" t="s">
        <v>206</v>
      </c>
    </row>
    <row r="2" spans="1:4" x14ac:dyDescent="0.35">
      <c r="A2">
        <v>0</v>
      </c>
      <c r="B2">
        <v>49</v>
      </c>
      <c r="C2" t="s">
        <v>207</v>
      </c>
      <c r="D2">
        <v>0</v>
      </c>
    </row>
    <row r="3" spans="1:4" x14ac:dyDescent="0.35">
      <c r="A3">
        <v>50</v>
      </c>
      <c r="B3">
        <v>69</v>
      </c>
      <c r="C3" t="s">
        <v>208</v>
      </c>
      <c r="D3">
        <v>0.02</v>
      </c>
    </row>
    <row r="4" spans="1:4" x14ac:dyDescent="0.35">
      <c r="A4">
        <v>70</v>
      </c>
      <c r="B4">
        <v>84</v>
      </c>
      <c r="C4" t="s">
        <v>209</v>
      </c>
      <c r="D4">
        <v>0.05</v>
      </c>
    </row>
    <row r="5" spans="1:4" x14ac:dyDescent="0.35">
      <c r="A5">
        <v>85</v>
      </c>
      <c r="B5">
        <v>94</v>
      </c>
      <c r="C5" t="s">
        <v>210</v>
      </c>
      <c r="D5">
        <v>0.08</v>
      </c>
    </row>
    <row r="6" spans="1:4" x14ac:dyDescent="0.35">
      <c r="A6">
        <v>95</v>
      </c>
      <c r="B6">
        <v>100</v>
      </c>
      <c r="C6" t="s">
        <v>211</v>
      </c>
      <c r="D6">
        <v>0.12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89A199-D4EA-4B38-A45F-43419FB9C8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Charts</vt:lpstr>
      <vt:lpstr>HR Dashboard</vt:lpstr>
      <vt:lpstr>HR Dashboard (2)</vt:lpstr>
      <vt:lpstr>HR Dashboard (3)</vt:lpstr>
      <vt:lpstr>Analysis</vt:lpstr>
      <vt:lpstr>Raw_Employee_Data with Fomulas</vt:lpstr>
      <vt:lpstr>Raw_Employee_Data</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Ayodele Fisayo</cp:lastModifiedBy>
  <cp:lastPrinted>2026-07-03T22:42:38Z</cp:lastPrinted>
  <dcterms:created xsi:type="dcterms:W3CDTF">2026-06-04T20:20:01Z</dcterms:created>
  <dcterms:modified xsi:type="dcterms:W3CDTF">2026-07-08T09:59:26Z</dcterms:modified>
</cp:coreProperties>
</file>